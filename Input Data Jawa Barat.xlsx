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rek\Downloads\"/>
    </mc:Choice>
  </mc:AlternateContent>
  <xr:revisionPtr revIDLastSave="0" documentId="13_ncr:1_{412089FD-8A90-4CF0-B494-DC411053518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JAWA BARAT (4 Agst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0" i="3" l="1"/>
  <c r="AX30" i="3"/>
  <c r="AY30" i="3" s="1"/>
  <c r="AV30" i="3"/>
  <c r="AT30" i="3"/>
  <c r="AQ30" i="3"/>
  <c r="AR30" i="3" s="1"/>
  <c r="AA30" i="3"/>
  <c r="T30" i="3"/>
  <c r="L30" i="3"/>
  <c r="K30" i="3"/>
  <c r="I30" i="3"/>
  <c r="BB29" i="3"/>
  <c r="AX29" i="3"/>
  <c r="AY29" i="3" s="1"/>
  <c r="AV29" i="3"/>
  <c r="AT29" i="3"/>
  <c r="AQ29" i="3"/>
  <c r="AR29" i="3" s="1"/>
  <c r="AA29" i="3"/>
  <c r="T29" i="3"/>
  <c r="L29" i="3"/>
  <c r="K29" i="3"/>
  <c r="I29" i="3"/>
  <c r="BB28" i="3"/>
  <c r="AX28" i="3"/>
  <c r="AY28" i="3" s="1"/>
  <c r="AV28" i="3"/>
  <c r="AT28" i="3"/>
  <c r="AR28" i="3"/>
  <c r="AA28" i="3"/>
  <c r="T28" i="3"/>
  <c r="L28" i="3"/>
  <c r="K28" i="3"/>
  <c r="I28" i="3"/>
  <c r="BB27" i="3"/>
  <c r="AX27" i="3"/>
  <c r="AY27" i="3" s="1"/>
  <c r="AV27" i="3"/>
  <c r="AT27" i="3"/>
  <c r="AQ27" i="3"/>
  <c r="AR27" i="3" s="1"/>
  <c r="AA27" i="3"/>
  <c r="T27" i="3"/>
  <c r="L27" i="3"/>
  <c r="K27" i="3"/>
  <c r="I27" i="3"/>
  <c r="BB26" i="3"/>
  <c r="AX26" i="3"/>
  <c r="AY26" i="3" s="1"/>
  <c r="AV26" i="3"/>
  <c r="AT26" i="3"/>
  <c r="AR26" i="3"/>
  <c r="AA26" i="3"/>
  <c r="T26" i="3"/>
  <c r="L26" i="3"/>
  <c r="K26" i="3"/>
  <c r="I26" i="3"/>
  <c r="BB25" i="3"/>
  <c r="AX25" i="3"/>
  <c r="AY25" i="3" s="1"/>
  <c r="AV25" i="3"/>
  <c r="AT25" i="3"/>
  <c r="AQ25" i="3"/>
  <c r="AR25" i="3" s="1"/>
  <c r="AA25" i="3"/>
  <c r="T25" i="3"/>
  <c r="L25" i="3"/>
  <c r="K25" i="3"/>
  <c r="I25" i="3"/>
  <c r="BB24" i="3"/>
  <c r="AX24" i="3"/>
  <c r="AY24" i="3" s="1"/>
  <c r="AV24" i="3"/>
  <c r="AT24" i="3"/>
  <c r="AR24" i="3"/>
  <c r="AA24" i="3"/>
  <c r="T24" i="3"/>
  <c r="L24" i="3"/>
  <c r="K24" i="3"/>
  <c r="I24" i="3"/>
  <c r="BB23" i="3"/>
  <c r="AX23" i="3"/>
  <c r="AY23" i="3" s="1"/>
  <c r="AV23" i="3"/>
  <c r="AT23" i="3"/>
  <c r="AR23" i="3"/>
  <c r="AA23" i="3"/>
  <c r="T23" i="3"/>
  <c r="L23" i="3"/>
  <c r="K23" i="3" s="1"/>
  <c r="I23" i="3"/>
  <c r="BB22" i="3"/>
  <c r="AX22" i="3"/>
  <c r="AY22" i="3" s="1"/>
  <c r="AV22" i="3"/>
  <c r="AT22" i="3"/>
  <c r="AQ22" i="3"/>
  <c r="AR22" i="3" s="1"/>
  <c r="AA22" i="3"/>
  <c r="T22" i="3"/>
  <c r="L22" i="3"/>
  <c r="I22" i="3" s="1"/>
  <c r="K22" i="3"/>
  <c r="BB21" i="3"/>
  <c r="AX21" i="3"/>
  <c r="AY21" i="3" s="1"/>
  <c r="AV21" i="3"/>
  <c r="AT21" i="3"/>
  <c r="AQ21" i="3"/>
  <c r="AR21" i="3" s="1"/>
  <c r="AA21" i="3"/>
  <c r="T21" i="3"/>
  <c r="L21" i="3"/>
  <c r="K21" i="3"/>
  <c r="I21" i="3"/>
  <c r="BB20" i="3"/>
  <c r="AX20" i="3"/>
  <c r="AY20" i="3" s="1"/>
  <c r="AV20" i="3"/>
  <c r="AT20" i="3"/>
  <c r="AQ20" i="3"/>
  <c r="AR20" i="3" s="1"/>
  <c r="AA20" i="3"/>
  <c r="T20" i="3"/>
  <c r="L20" i="3"/>
  <c r="K20" i="3"/>
  <c r="I20" i="3"/>
  <c r="BB19" i="3"/>
  <c r="AX19" i="3"/>
  <c r="AY19" i="3" s="1"/>
  <c r="AV19" i="3"/>
  <c r="AT19" i="3"/>
  <c r="AQ19" i="3"/>
  <c r="AR19" i="3" s="1"/>
  <c r="AA19" i="3"/>
  <c r="T19" i="3"/>
  <c r="L19" i="3"/>
  <c r="K19" i="3" s="1"/>
  <c r="I19" i="3"/>
  <c r="BB18" i="3"/>
  <c r="AX18" i="3"/>
  <c r="AY18" i="3" s="1"/>
  <c r="AV18" i="3"/>
  <c r="AT18" i="3"/>
  <c r="AQ18" i="3"/>
  <c r="AR18" i="3" s="1"/>
  <c r="AA18" i="3"/>
  <c r="T18" i="3"/>
  <c r="L18" i="3"/>
  <c r="K18" i="3" s="1"/>
  <c r="I18" i="3"/>
  <c r="BB17" i="3"/>
  <c r="AX17" i="3"/>
  <c r="AY17" i="3" s="1"/>
  <c r="AV17" i="3"/>
  <c r="AT17" i="3"/>
  <c r="AQ17" i="3"/>
  <c r="AR17" i="3" s="1"/>
  <c r="AA17" i="3"/>
  <c r="T17" i="3"/>
  <c r="L17" i="3"/>
  <c r="K17" i="3"/>
  <c r="I17" i="3"/>
  <c r="BB16" i="3"/>
  <c r="AX16" i="3"/>
  <c r="AY16" i="3" s="1"/>
  <c r="AV16" i="3"/>
  <c r="AT16" i="3"/>
  <c r="AQ16" i="3"/>
  <c r="AR16" i="3" s="1"/>
  <c r="AA16" i="3"/>
  <c r="T16" i="3"/>
  <c r="L16" i="3"/>
  <c r="K16" i="3"/>
  <c r="I16" i="3"/>
  <c r="BB15" i="3"/>
  <c r="AX15" i="3"/>
  <c r="AY15" i="3" s="1"/>
  <c r="AV15" i="3"/>
  <c r="AT15" i="3"/>
  <c r="AR15" i="3"/>
  <c r="AA15" i="3"/>
  <c r="T15" i="3"/>
  <c r="L15" i="3"/>
  <c r="K15" i="3" s="1"/>
  <c r="I15" i="3"/>
  <c r="BB14" i="3"/>
  <c r="AX14" i="3"/>
  <c r="AY14" i="3" s="1"/>
  <c r="AV14" i="3"/>
  <c r="AT14" i="3"/>
  <c r="AQ14" i="3"/>
  <c r="AR14" i="3" s="1"/>
  <c r="AA14" i="3"/>
  <c r="T14" i="3"/>
  <c r="L14" i="3"/>
  <c r="K14" i="3"/>
  <c r="I14" i="3"/>
  <c r="BB13" i="3"/>
  <c r="AX13" i="3"/>
  <c r="AY13" i="3" s="1"/>
  <c r="AV13" i="3"/>
  <c r="AT13" i="3"/>
  <c r="AQ13" i="3"/>
  <c r="AR13" i="3" s="1"/>
  <c r="AA13" i="3"/>
  <c r="T13" i="3"/>
  <c r="L13" i="3"/>
  <c r="K13" i="3"/>
  <c r="I13" i="3"/>
  <c r="BB12" i="3"/>
  <c r="AX12" i="3"/>
  <c r="AY12" i="3" s="1"/>
  <c r="AV12" i="3"/>
  <c r="AT12" i="3"/>
  <c r="AR12" i="3"/>
  <c r="AA12" i="3"/>
  <c r="T12" i="3"/>
  <c r="L12" i="3"/>
  <c r="K12" i="3"/>
  <c r="I12" i="3"/>
  <c r="BB11" i="3"/>
  <c r="AX11" i="3"/>
  <c r="AY11" i="3" s="1"/>
  <c r="AV11" i="3"/>
  <c r="AT11" i="3"/>
  <c r="AQ11" i="3"/>
  <c r="AR11" i="3" s="1"/>
  <c r="AA11" i="3"/>
  <c r="T11" i="3"/>
  <c r="L11" i="3"/>
  <c r="K11" i="3"/>
  <c r="I11" i="3"/>
  <c r="BB10" i="3"/>
  <c r="AX10" i="3"/>
  <c r="AY10" i="3" s="1"/>
  <c r="AV10" i="3"/>
  <c r="AT10" i="3"/>
  <c r="AR10" i="3"/>
  <c r="AA10" i="3"/>
  <c r="T10" i="3"/>
  <c r="L10" i="3"/>
  <c r="K10" i="3"/>
  <c r="I10" i="3"/>
  <c r="BB9" i="3"/>
  <c r="AX9" i="3"/>
  <c r="AY9" i="3" s="1"/>
  <c r="AV9" i="3"/>
  <c r="AT9" i="3"/>
  <c r="AQ9" i="3"/>
  <c r="AR9" i="3" s="1"/>
  <c r="AA9" i="3"/>
  <c r="T9" i="3"/>
  <c r="L9" i="3"/>
  <c r="K9" i="3"/>
  <c r="I9" i="3"/>
  <c r="BB8" i="3"/>
  <c r="AX8" i="3"/>
  <c r="AY8" i="3" s="1"/>
  <c r="AV8" i="3"/>
  <c r="AT8" i="3"/>
  <c r="AQ8" i="3"/>
  <c r="AR8" i="3" s="1"/>
  <c r="AA8" i="3"/>
  <c r="T8" i="3"/>
  <c r="L8" i="3"/>
  <c r="K8" i="3"/>
  <c r="I8" i="3"/>
  <c r="BB7" i="3"/>
  <c r="AX7" i="3"/>
  <c r="AY7" i="3" s="1"/>
  <c r="AV7" i="3"/>
  <c r="AT7" i="3"/>
  <c r="AR7" i="3"/>
  <c r="AA7" i="3"/>
  <c r="T7" i="3"/>
  <c r="L7" i="3"/>
  <c r="K7" i="3"/>
  <c r="I7" i="3"/>
  <c r="BB6" i="3"/>
  <c r="AX6" i="3"/>
  <c r="AV6" i="3"/>
  <c r="AT6" i="3"/>
  <c r="AQ6" i="3"/>
  <c r="AR6" i="3" s="1"/>
  <c r="AA6" i="3"/>
  <c r="T6" i="3"/>
  <c r="L6" i="3"/>
  <c r="K6" i="3" l="1"/>
  <c r="I6" i="3"/>
  <c r="AY6" i="3"/>
</calcChain>
</file>

<file path=xl/sharedStrings.xml><?xml version="1.0" encoding="utf-8"?>
<sst xmlns="http://schemas.openxmlformats.org/spreadsheetml/2006/main" count="364" uniqueCount="164">
  <si>
    <t>*Berikan warna kuning jika ada penambahan variabel (kolom)</t>
  </si>
  <si>
    <t>Pertanyaan : Jumlah RDTR itu apakah yang dimaksud target RDTR dalam 1 daerah ?</t>
  </si>
  <si>
    <t>Pertanyaan : Sudah ini dimasukkan RDTR dengan klasifikasi apa ?</t>
  </si>
  <si>
    <t>Pertanyaan : Belum ini dimasukkan RDTR dengan klasifikasi apa ?</t>
  </si>
  <si>
    <t>TOTAL APL</t>
  </si>
  <si>
    <t>TOTAL PENDAPATAN SEKTOR PERTANAHAN</t>
  </si>
  <si>
    <t>NIB DAN NOP</t>
  </si>
  <si>
    <t>TOTAL KREDIT</t>
  </si>
  <si>
    <t>ASET PEMDA</t>
  </si>
  <si>
    <t>ZNT</t>
  </si>
  <si>
    <t>KAWASAN KUMUH &amp; PERTANIAN</t>
  </si>
  <si>
    <t>GTRA</t>
  </si>
  <si>
    <t>PELEPASAN KAWASAN HUTAN</t>
  </si>
  <si>
    <t>RTRW</t>
  </si>
  <si>
    <t>TOTAL RDTR</t>
  </si>
  <si>
    <t>KEPEMILIKAN LAHAN BERSERTIFIKAT</t>
  </si>
  <si>
    <t>MPP</t>
  </si>
  <si>
    <t>KKN TEMATIK PERTANAHAN</t>
  </si>
  <si>
    <t>NO</t>
  </si>
  <si>
    <t>DAREAH</t>
  </si>
  <si>
    <t>Luas APL 
(ha)</t>
  </si>
  <si>
    <t>Luas lahan bersertipikat 
(ha)</t>
  </si>
  <si>
    <t>blm bersertipikat (ha)</t>
  </si>
  <si>
    <t>Luas lahan bersertipikat 
(%)</t>
  </si>
  <si>
    <t>Luas lahan belum bersertipikat 
(%)</t>
  </si>
  <si>
    <t>PBB 
(Rp)</t>
  </si>
  <si>
    <t>% PBB</t>
  </si>
  <si>
    <t>BPHTB 
(Rp)</t>
  </si>
  <si>
    <t>% BPHTB</t>
  </si>
  <si>
    <t xml:space="preserve">JUMLAH PBB &amp; BPHTB (Rp)
</t>
  </si>
  <si>
    <t>STATUS Terkoneksi</t>
  </si>
  <si>
    <t>NIB 
(BIDANG)</t>
  </si>
  <si>
    <t>NOP</t>
  </si>
  <si>
    <t>KETERANGAN</t>
  </si>
  <si>
    <t>HT
(Rp)</t>
  </si>
  <si>
    <t>TOTAL SERTIPIKAT YANG DI HT TAHUN 2025
(Bidang)</t>
  </si>
  <si>
    <t>TOTAL SERTIPIKAT TAHUN 2000 - 2026
(Bidang)</t>
  </si>
  <si>
    <t>SERTIFIKAT (%)</t>
  </si>
  <si>
    <t>Aset Pemda (Bidang) data s.d. Maret 2026</t>
  </si>
  <si>
    <t>Cakupan ZNT</t>
  </si>
  <si>
    <t>KT</t>
  </si>
  <si>
    <t>LUAS TORA BELUM SERTIPIKAT (Ha)</t>
  </si>
  <si>
    <t>87% KP2B/LP2B</t>
  </si>
  <si>
    <t>RDTR OSS</t>
  </si>
  <si>
    <t>NIK</t>
  </si>
  <si>
    <t>%</t>
  </si>
  <si>
    <t>NON NIK</t>
  </si>
  <si>
    <t>JUMLAH PENDUDUK
(UMUR &gt;30)</t>
  </si>
  <si>
    <t>JUMLAH SERTIPIKAT (NIK + TANPA NIK)</t>
  </si>
  <si>
    <t>% BELUM KEPEMILIKAN TANAH</t>
  </si>
  <si>
    <t>STATUS</t>
  </si>
  <si>
    <t>JUMLAH KW 456</t>
  </si>
  <si>
    <t>LUAS KW456 (Ha)</t>
  </si>
  <si>
    <t>Sudah Sertipikat</t>
  </si>
  <si>
    <t>Belum Sertipikat</t>
  </si>
  <si>
    <t>% Belum Sertipikat</t>
  </si>
  <si>
    <t>% Cakupan</t>
  </si>
  <si>
    <t>Luas belum (ha)</t>
  </si>
  <si>
    <t xml:space="preserve">Tahun </t>
  </si>
  <si>
    <t>Nilai Rata-Rata ZNT (Rp.)</t>
  </si>
  <si>
    <t>PKS</t>
  </si>
  <si>
    <t>Tahun</t>
  </si>
  <si>
    <t>Luas wilayah kumuh</t>
  </si>
  <si>
    <t>Luas Usulan LP2B</t>
  </si>
  <si>
    <t>Ada Lokasi KT 5 Tahun Terakhir</t>
  </si>
  <si>
    <t>Pembentukan GTRA
(2018-2025)</t>
  </si>
  <si>
    <t>GTRA Aktif
(APBN 2026)</t>
  </si>
  <si>
    <t>Sudah/Belum</t>
  </si>
  <si>
    <t>Jumlah Perkada RDTR</t>
  </si>
  <si>
    <t>Jumlah Terintegrasi OSS</t>
  </si>
  <si>
    <t>SUDAH</t>
  </si>
  <si>
    <t>BELUM</t>
  </si>
  <si>
    <t>data 13/7/2026</t>
  </si>
  <si>
    <t>Bidang</t>
  </si>
  <si>
    <t>Luas (m2)</t>
  </si>
  <si>
    <t>Nilai (Rp)</t>
  </si>
  <si>
    <t>(Ha)</t>
  </si>
  <si>
    <t>Kabupaten Bandung</t>
  </si>
  <si>
    <t>Belum Terkoneksi</t>
  </si>
  <si>
    <t>NIB &gt; NOP</t>
  </si>
  <si>
    <t>97.68</t>
  </si>
  <si>
    <t>NIB &lt; NOP</t>
  </si>
  <si>
    <t>TIDAK ADA</t>
  </si>
  <si>
    <t>Tidak Ada</t>
  </si>
  <si>
    <t>Ada</t>
  </si>
  <si>
    <t>Belum</t>
  </si>
  <si>
    <t>SUDAH TERLAKSANA</t>
  </si>
  <si>
    <t>Kabupaten Bandung Barat</t>
  </si>
  <si>
    <t>1.868.493</t>
  </si>
  <si>
    <t>5.162.054</t>
  </si>
  <si>
    <t>799.239.356.656</t>
  </si>
  <si>
    <t>96.92</t>
  </si>
  <si>
    <t xml:space="preserve">Belum </t>
  </si>
  <si>
    <t>Terkoneksi</t>
  </si>
  <si>
    <t>Kabupaten Bekasi</t>
  </si>
  <si>
    <t>97.89</t>
  </si>
  <si>
    <t>2025</t>
  </si>
  <si>
    <t>Sudah</t>
  </si>
  <si>
    <t>-</t>
  </si>
  <si>
    <t>BELUM TERLAKSANA</t>
  </si>
  <si>
    <t>98.12</t>
  </si>
  <si>
    <t>98.47</t>
  </si>
  <si>
    <t>Kabupaten Ciamis</t>
  </si>
  <si>
    <t>99.33</t>
  </si>
  <si>
    <t>Kabupaten Cianjur</t>
  </si>
  <si>
    <t>99.91</t>
  </si>
  <si>
    <t>Kabupaten Cirebon</t>
  </si>
  <si>
    <t>98.96</t>
  </si>
  <si>
    <t>Kabupaten Garut</t>
  </si>
  <si>
    <t>ADA</t>
  </si>
  <si>
    <t>Kabupaten Indramayu</t>
  </si>
  <si>
    <t>6.934.780</t>
  </si>
  <si>
    <t>8.501.125.756,82</t>
  </si>
  <si>
    <t>99.96</t>
  </si>
  <si>
    <t>Kabupaten Karawang</t>
  </si>
  <si>
    <t>98.23</t>
  </si>
  <si>
    <t>Kabupaten Kuningan</t>
  </si>
  <si>
    <t>4.891.622</t>
  </si>
  <si>
    <t>438.344.310.519</t>
  </si>
  <si>
    <t>97.25</t>
  </si>
  <si>
    <t>Sudah (proses penetapan SK)</t>
  </si>
  <si>
    <t>99.79</t>
  </si>
  <si>
    <t>Kabupaten Majalengka</t>
  </si>
  <si>
    <t>Kabupaten Purwakarta</t>
  </si>
  <si>
    <t>2.153.030</t>
  </si>
  <si>
    <t>78.374.514.646</t>
  </si>
  <si>
    <t>346.346.239.853</t>
  </si>
  <si>
    <t>99.53</t>
  </si>
  <si>
    <t>Kabupaten Subang</t>
  </si>
  <si>
    <t>7.493.007</t>
  </si>
  <si>
    <t>387.899.496.513</t>
  </si>
  <si>
    <t>96.31</t>
  </si>
  <si>
    <t>Kabupaten Sukabumi</t>
  </si>
  <si>
    <t>99.34</t>
  </si>
  <si>
    <t>Kabupaten Sumedang</t>
  </si>
  <si>
    <t>196.235.707.998,59</t>
  </si>
  <si>
    <t>Kabupaten Tasikmalaya</t>
  </si>
  <si>
    <t>Kota Bandung</t>
  </si>
  <si>
    <t>6.684.798</t>
  </si>
  <si>
    <t>18.666.223</t>
  </si>
  <si>
    <t>99.54</t>
  </si>
  <si>
    <t>Kota Banjar</t>
  </si>
  <si>
    <t>97.62</t>
  </si>
  <si>
    <t>Kota Bekasi</t>
  </si>
  <si>
    <t>2.761.224</t>
  </si>
  <si>
    <t>8.353.659</t>
  </si>
  <si>
    <t>95.86</t>
  </si>
  <si>
    <t>Kota Bogor</t>
  </si>
  <si>
    <t>95.67</t>
  </si>
  <si>
    <t>Kota Cimahi</t>
  </si>
  <si>
    <t>1.138.907</t>
  </si>
  <si>
    <t>749.467.969.323</t>
  </si>
  <si>
    <t>Kota Cirebon</t>
  </si>
  <si>
    <t>Kota Depok</t>
  </si>
  <si>
    <t>1.575.184</t>
  </si>
  <si>
    <t>98.73</t>
  </si>
  <si>
    <t>Kota Sukabumi</t>
  </si>
  <si>
    <t>2.170.235</t>
  </si>
  <si>
    <t>324.468.107.055</t>
  </si>
  <si>
    <t>1.117.026</t>
  </si>
  <si>
    <t>265.037.383.929</t>
  </si>
  <si>
    <t>99.51</t>
  </si>
  <si>
    <t>Kota Tasikmalaya</t>
  </si>
  <si>
    <t>99.58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</si>
</sst>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;\(#,##0.00\)"/>
    <numFmt numFmtId="166" formatCode="#,##0;\(#,##0\)"/>
  </numFmts>
  <fonts count="15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rgb="FFFF0000"/>
      <name val="Calibri"/>
      <scheme val="minor"/>
    </font>
    <font>
      <sz val="11"/>
      <color rgb="FFFF0000"/>
      <name val="Calibri"/>
    </font>
    <font>
      <sz val="1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1E293B"/>
      <name val="Calibri"/>
    </font>
    <font>
      <sz val="11"/>
      <color rgb="FF1F1F1F"/>
      <name val="Calibri"/>
    </font>
    <font>
      <sz val="12"/>
      <color rgb="FF000000"/>
      <name val="Calibri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/>
    </xf>
    <xf numFmtId="3" fontId="9" fillId="0" borderId="5" xfId="0" applyNumberFormat="1" applyFont="1" applyBorder="1"/>
    <xf numFmtId="3" fontId="9" fillId="0" borderId="5" xfId="0" applyNumberFormat="1" applyFont="1" applyBorder="1" applyAlignment="1">
      <alignment horizontal="right"/>
    </xf>
    <xf numFmtId="9" fontId="9" fillId="0" borderId="5" xfId="0" applyNumberFormat="1" applyFont="1" applyBorder="1" applyAlignment="1">
      <alignment horizontal="right"/>
    </xf>
    <xf numFmtId="3" fontId="10" fillId="3" borderId="5" xfId="0" applyNumberFormat="1" applyFont="1" applyFill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3" fontId="9" fillId="0" borderId="0" xfId="0" applyNumberFormat="1" applyFont="1"/>
    <xf numFmtId="10" fontId="7" fillId="0" borderId="5" xfId="0" applyNumberFormat="1" applyFont="1" applyBorder="1" applyAlignment="1">
      <alignment horizontal="right"/>
    </xf>
    <xf numFmtId="4" fontId="8" fillId="0" borderId="5" xfId="0" applyNumberFormat="1" applyFont="1" applyBorder="1"/>
    <xf numFmtId="3" fontId="7" fillId="0" borderId="5" xfId="0" applyNumberFormat="1" applyFont="1" applyBorder="1" applyAlignment="1">
      <alignment horizontal="right"/>
    </xf>
    <xf numFmtId="3" fontId="7" fillId="0" borderId="5" xfId="0" applyNumberFormat="1" applyFont="1" applyBorder="1" applyAlignment="1">
      <alignment horizontal="center"/>
    </xf>
    <xf numFmtId="3" fontId="7" fillId="0" borderId="0" xfId="0" applyNumberFormat="1" applyFont="1" applyAlignment="1">
      <alignment horizontal="right"/>
    </xf>
    <xf numFmtId="0" fontId="7" fillId="0" borderId="5" xfId="0" applyFont="1" applyBorder="1" applyAlignment="1">
      <alignment horizontal="right"/>
    </xf>
    <xf numFmtId="164" fontId="7" fillId="0" borderId="5" xfId="0" applyNumberFormat="1" applyFont="1" applyBorder="1" applyAlignment="1">
      <alignment horizontal="right"/>
    </xf>
    <xf numFmtId="164" fontId="7" fillId="0" borderId="5" xfId="0" applyNumberFormat="1" applyFont="1" applyBorder="1" applyAlignment="1">
      <alignment vertical="center"/>
    </xf>
    <xf numFmtId="3" fontId="8" fillId="0" borderId="5" xfId="0" applyNumberFormat="1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3" fontId="11" fillId="0" borderId="5" xfId="0" applyNumberFormat="1" applyFont="1" applyBorder="1" applyAlignment="1">
      <alignment horizontal="right"/>
    </xf>
    <xf numFmtId="0" fontId="8" fillId="0" borderId="5" xfId="0" applyFont="1" applyBorder="1"/>
    <xf numFmtId="0" fontId="8" fillId="0" borderId="0" xfId="0" applyFont="1"/>
    <xf numFmtId="4" fontId="8" fillId="0" borderId="0" xfId="0" applyNumberFormat="1" applyFont="1"/>
    <xf numFmtId="0" fontId="7" fillId="0" borderId="5" xfId="0" applyFont="1" applyBorder="1" applyAlignment="1">
      <alignment vertical="center"/>
    </xf>
    <xf numFmtId="4" fontId="7" fillId="0" borderId="5" xfId="0" applyNumberFormat="1" applyFont="1" applyBorder="1" applyAlignment="1">
      <alignment vertical="center"/>
    </xf>
    <xf numFmtId="9" fontId="7" fillId="0" borderId="5" xfId="0" applyNumberFormat="1" applyFont="1" applyBorder="1" applyAlignment="1">
      <alignment horizontal="center" vertical="center"/>
    </xf>
    <xf numFmtId="9" fontId="8" fillId="0" borderId="5" xfId="0" applyNumberFormat="1" applyFont="1" applyBorder="1" applyAlignment="1">
      <alignment horizontal="center"/>
    </xf>
    <xf numFmtId="3" fontId="9" fillId="0" borderId="5" xfId="0" applyNumberFormat="1" applyFont="1" applyBorder="1" applyAlignment="1">
      <alignment horizontal="right" vertical="center"/>
    </xf>
    <xf numFmtId="0" fontId="8" fillId="0" borderId="5" xfId="0" applyFont="1" applyBorder="1" applyAlignment="1">
      <alignment horizontal="center"/>
    </xf>
    <xf numFmtId="3" fontId="7" fillId="0" borderId="5" xfId="0" applyNumberFormat="1" applyFont="1" applyBorder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10" fontId="7" fillId="0" borderId="5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right"/>
    </xf>
    <xf numFmtId="3" fontId="7" fillId="0" borderId="5" xfId="0" applyNumberFormat="1" applyFont="1" applyBorder="1" applyAlignment="1">
      <alignment vertical="center"/>
    </xf>
    <xf numFmtId="3" fontId="7" fillId="0" borderId="5" xfId="0" applyNumberFormat="1" applyFont="1" applyBorder="1" applyAlignment="1">
      <alignment horizontal="right" vertical="top"/>
    </xf>
    <xf numFmtId="10" fontId="7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right"/>
    </xf>
    <xf numFmtId="4" fontId="8" fillId="0" borderId="5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 wrapText="1"/>
    </xf>
    <xf numFmtId="3" fontId="12" fillId="0" borderId="5" xfId="0" applyNumberFormat="1" applyFont="1" applyBorder="1" applyAlignment="1">
      <alignment horizontal="right" vertical="center"/>
    </xf>
    <xf numFmtId="3" fontId="8" fillId="0" borderId="5" xfId="0" applyNumberFormat="1" applyFont="1" applyBorder="1"/>
    <xf numFmtId="3" fontId="8" fillId="0" borderId="0" xfId="0" applyNumberFormat="1" applyFont="1"/>
    <xf numFmtId="49" fontId="7" fillId="0" borderId="5" xfId="0" applyNumberFormat="1" applyFont="1" applyBorder="1" applyAlignment="1">
      <alignment horizontal="right"/>
    </xf>
    <xf numFmtId="3" fontId="8" fillId="0" borderId="0" xfId="0" applyNumberFormat="1" applyFont="1" applyAlignment="1">
      <alignment horizontal="right" vertical="center"/>
    </xf>
    <xf numFmtId="4" fontId="7" fillId="0" borderId="5" xfId="0" applyNumberFormat="1" applyFont="1" applyBorder="1" applyAlignment="1">
      <alignment horizontal="right"/>
    </xf>
    <xf numFmtId="165" fontId="7" fillId="0" borderId="5" xfId="0" applyNumberFormat="1" applyFont="1" applyBorder="1" applyAlignment="1">
      <alignment horizontal="right"/>
    </xf>
    <xf numFmtId="4" fontId="7" fillId="0" borderId="0" xfId="0" applyNumberFormat="1" applyFont="1" applyAlignment="1">
      <alignment horizontal="right"/>
    </xf>
    <xf numFmtId="0" fontId="13" fillId="0" borderId="5" xfId="0" applyFont="1" applyBorder="1"/>
    <xf numFmtId="3" fontId="8" fillId="0" borderId="5" xfId="0" applyNumberFormat="1" applyFont="1" applyBorder="1" applyAlignment="1">
      <alignment horizontal="right" vertical="center"/>
    </xf>
    <xf numFmtId="166" fontId="8" fillId="0" borderId="5" xfId="0" applyNumberFormat="1" applyFont="1" applyBorder="1" applyAlignment="1">
      <alignment horizontal="right"/>
    </xf>
    <xf numFmtId="0" fontId="8" fillId="0" borderId="5" xfId="0" applyFont="1" applyBorder="1" applyAlignment="1">
      <alignment horizontal="right" vertic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8" fillId="0" borderId="5" xfId="0" applyNumberFormat="1" applyFont="1" applyBorder="1" applyAlignment="1">
      <alignment horizontal="right"/>
    </xf>
    <xf numFmtId="0" fontId="14" fillId="0" borderId="5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5" xfId="0" applyFont="1" applyBorder="1" applyAlignment="1">
      <alignment horizontal="right" vertical="center"/>
    </xf>
    <xf numFmtId="0" fontId="7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3" fontId="9" fillId="4" borderId="5" xfId="0" applyNumberFormat="1" applyFont="1" applyFill="1" applyBorder="1"/>
    <xf numFmtId="3" fontId="9" fillId="4" borderId="5" xfId="0" applyNumberFormat="1" applyFont="1" applyFill="1" applyBorder="1" applyAlignment="1">
      <alignment horizontal="right"/>
    </xf>
    <xf numFmtId="9" fontId="9" fillId="4" borderId="5" xfId="0" applyNumberFormat="1" applyFont="1" applyFill="1" applyBorder="1" applyAlignment="1">
      <alignment horizontal="right"/>
    </xf>
    <xf numFmtId="3" fontId="10" fillId="4" borderId="5" xfId="0" applyNumberFormat="1" applyFont="1" applyFill="1" applyBorder="1" applyAlignment="1">
      <alignment horizontal="right"/>
    </xf>
    <xf numFmtId="164" fontId="9" fillId="4" borderId="5" xfId="0" applyNumberFormat="1" applyFont="1" applyFill="1" applyBorder="1" applyAlignment="1">
      <alignment horizontal="right"/>
    </xf>
    <xf numFmtId="3" fontId="9" fillId="4" borderId="0" xfId="0" applyNumberFormat="1" applyFont="1" applyFill="1"/>
    <xf numFmtId="10" fontId="7" fillId="4" borderId="5" xfId="0" applyNumberFormat="1" applyFont="1" applyFill="1" applyBorder="1" applyAlignment="1">
      <alignment horizontal="right"/>
    </xf>
    <xf numFmtId="3" fontId="7" fillId="4" borderId="5" xfId="0" applyNumberFormat="1" applyFont="1" applyFill="1" applyBorder="1" applyAlignment="1">
      <alignment horizontal="right"/>
    </xf>
    <xf numFmtId="3" fontId="7" fillId="4" borderId="5" xfId="0" applyNumberFormat="1" applyFont="1" applyFill="1" applyBorder="1" applyAlignment="1">
      <alignment horizontal="center"/>
    </xf>
    <xf numFmtId="3" fontId="7" fillId="4" borderId="0" xfId="0" applyNumberFormat="1" applyFont="1" applyFill="1"/>
    <xf numFmtId="0" fontId="7" fillId="4" borderId="5" xfId="0" applyFont="1" applyFill="1" applyBorder="1" applyAlignment="1">
      <alignment horizontal="right"/>
    </xf>
    <xf numFmtId="164" fontId="7" fillId="4" borderId="5" xfId="0" applyNumberFormat="1" applyFont="1" applyFill="1" applyBorder="1" applyAlignment="1">
      <alignment horizontal="right"/>
    </xf>
    <xf numFmtId="0" fontId="8" fillId="4" borderId="5" xfId="0" applyFont="1" applyFill="1" applyBorder="1" applyAlignment="1">
      <alignment horizontal="right"/>
    </xf>
    <xf numFmtId="3" fontId="8" fillId="4" borderId="5" xfId="0" applyNumberFormat="1" applyFont="1" applyFill="1" applyBorder="1" applyAlignment="1">
      <alignment horizontal="right"/>
    </xf>
    <xf numFmtId="164" fontId="7" fillId="4" borderId="5" xfId="0" applyNumberFormat="1" applyFont="1" applyFill="1" applyBorder="1" applyAlignment="1">
      <alignment vertical="center"/>
    </xf>
    <xf numFmtId="0" fontId="7" fillId="4" borderId="5" xfId="0" applyFont="1" applyFill="1" applyBorder="1" applyAlignment="1">
      <alignment horizontal="center"/>
    </xf>
    <xf numFmtId="3" fontId="11" fillId="4" borderId="5" xfId="0" applyNumberFormat="1" applyFont="1" applyFill="1" applyBorder="1" applyAlignment="1">
      <alignment horizontal="right"/>
    </xf>
    <xf numFmtId="0" fontId="8" fillId="4" borderId="5" xfId="0" applyFont="1" applyFill="1" applyBorder="1"/>
    <xf numFmtId="4" fontId="8" fillId="4" borderId="5" xfId="0" applyNumberFormat="1" applyFont="1" applyFill="1" applyBorder="1"/>
    <xf numFmtId="0" fontId="7" fillId="4" borderId="5" xfId="0" applyFont="1" applyFill="1" applyBorder="1" applyAlignment="1">
      <alignment vertical="center"/>
    </xf>
    <xf numFmtId="4" fontId="7" fillId="4" borderId="5" xfId="0" applyNumberFormat="1" applyFont="1" applyFill="1" applyBorder="1" applyAlignment="1">
      <alignment vertical="center"/>
    </xf>
    <xf numFmtId="0" fontId="8" fillId="4" borderId="5" xfId="0" applyFont="1" applyFill="1" applyBorder="1" applyAlignment="1">
      <alignment horizontal="center"/>
    </xf>
    <xf numFmtId="9" fontId="7" fillId="4" borderId="5" xfId="0" applyNumberFormat="1" applyFont="1" applyFill="1" applyBorder="1" applyAlignment="1">
      <alignment horizontal="center" vertical="center"/>
    </xf>
    <xf numFmtId="9" fontId="8" fillId="4" borderId="5" xfId="0" applyNumberFormat="1" applyFont="1" applyFill="1" applyBorder="1" applyAlignment="1">
      <alignment horizontal="center"/>
    </xf>
    <xf numFmtId="3" fontId="9" fillId="4" borderId="5" xfId="0" applyNumberFormat="1" applyFont="1" applyFill="1" applyBorder="1" applyAlignment="1">
      <alignment horizontal="right" vertical="center"/>
    </xf>
    <xf numFmtId="3" fontId="7" fillId="4" borderId="5" xfId="0" applyNumberFormat="1" applyFont="1" applyFill="1" applyBorder="1" applyAlignment="1">
      <alignment horizontal="right" vertical="center"/>
    </xf>
    <xf numFmtId="10" fontId="7" fillId="4" borderId="5" xfId="0" applyNumberFormat="1" applyFont="1" applyFill="1" applyBorder="1" applyAlignment="1">
      <alignment horizontal="right" vertical="center"/>
    </xf>
    <xf numFmtId="3" fontId="8" fillId="4" borderId="5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/>
    <xf numFmtId="0" fontId="1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987"/>
  <sheetViews>
    <sheetView tabSelected="1" workbookViewId="0">
      <pane xSplit="2" ySplit="5" topLeftCell="O28" activePane="bottomRight" state="frozen"/>
      <selection pane="topRight" activeCell="C1" sqref="C1"/>
      <selection pane="bottomLeft" activeCell="A6" sqref="A6"/>
      <selection pane="bottomRight" activeCell="A32" sqref="A32:XFD36"/>
    </sheetView>
  </sheetViews>
  <sheetFormatPr defaultColWidth="14.453125" defaultRowHeight="15" customHeight="1" x14ac:dyDescent="0.35"/>
  <cols>
    <col min="1" max="1" width="6.54296875" customWidth="1"/>
    <col min="2" max="2" width="32.453125" customWidth="1"/>
    <col min="3" max="3" width="17.54296875" customWidth="1"/>
    <col min="4" max="4" width="16.81640625" customWidth="1"/>
    <col min="5" max="5" width="17.7265625" customWidth="1"/>
    <col min="6" max="6" width="17.08984375" customWidth="1"/>
    <col min="7" max="7" width="18.54296875" customWidth="1"/>
    <col min="8" max="8" width="28" customWidth="1"/>
    <col min="9" max="9" width="12.7265625" customWidth="1"/>
    <col min="10" max="10" width="19.81640625" customWidth="1"/>
    <col min="11" max="11" width="10.81640625" customWidth="1"/>
    <col min="12" max="12" width="22.08984375" customWidth="1"/>
    <col min="13" max="14" width="17.54296875" customWidth="1"/>
    <col min="15" max="15" width="16.7265625" customWidth="1"/>
    <col min="16" max="16" width="16.54296875" customWidth="1"/>
    <col min="17" max="17" width="27.54296875" customWidth="1"/>
    <col min="18" max="20" width="22" customWidth="1"/>
    <col min="21" max="21" width="17.453125" customWidth="1"/>
    <col min="22" max="22" width="17" customWidth="1"/>
    <col min="23" max="23" width="23" customWidth="1"/>
    <col min="24" max="25" width="17" customWidth="1"/>
    <col min="26" max="26" width="22.26953125" customWidth="1"/>
    <col min="27" max="27" width="12.7265625" customWidth="1"/>
    <col min="28" max="28" width="13.7265625" customWidth="1"/>
    <col min="29" max="30" width="14.81640625" customWidth="1"/>
    <col min="31" max="32" width="15.26953125" customWidth="1"/>
    <col min="33" max="33" width="14.81640625" customWidth="1"/>
    <col min="34" max="36" width="16.81640625" customWidth="1"/>
    <col min="37" max="37" width="18.54296875" customWidth="1"/>
    <col min="38" max="39" width="20" customWidth="1"/>
    <col min="40" max="40" width="19" customWidth="1"/>
    <col min="41" max="41" width="16.81640625" customWidth="1"/>
    <col min="42" max="42" width="13.54296875" customWidth="1"/>
    <col min="43" max="43" width="16.26953125" customWidth="1"/>
    <col min="44" max="44" width="15.7265625" customWidth="1"/>
    <col min="45" max="45" width="12.81640625" customWidth="1"/>
    <col min="46" max="46" width="7.26953125" customWidth="1"/>
    <col min="47" max="47" width="14.26953125" customWidth="1"/>
    <col min="48" max="48" width="12" customWidth="1"/>
    <col min="49" max="49" width="21.08984375" customWidth="1"/>
    <col min="50" max="50" width="20.81640625" customWidth="1"/>
    <col min="51" max="54" width="21.54296875" customWidth="1"/>
  </cols>
  <sheetData>
    <row r="1" spans="1:54" ht="27.75" customHeight="1" x14ac:dyDescent="0.35">
      <c r="A1" s="113" t="s">
        <v>0</v>
      </c>
      <c r="B1" s="11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3"/>
      <c r="AH1" s="3"/>
      <c r="AI1" s="3"/>
      <c r="AJ1" s="3"/>
      <c r="AK1" s="3"/>
      <c r="AL1" s="3"/>
      <c r="AM1" s="3"/>
      <c r="AN1" s="3"/>
      <c r="AO1" s="4" t="s">
        <v>1</v>
      </c>
      <c r="AP1" s="3"/>
      <c r="AQ1" s="5" t="s">
        <v>2</v>
      </c>
      <c r="AR1" s="5" t="s">
        <v>3</v>
      </c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4" ht="25.5" customHeight="1" x14ac:dyDescent="0.35">
      <c r="A2" s="2"/>
      <c r="B2" s="2"/>
      <c r="C2" s="112" t="s">
        <v>4</v>
      </c>
      <c r="D2" s="111"/>
      <c r="E2" s="111"/>
      <c r="F2" s="111"/>
      <c r="G2" s="111"/>
      <c r="H2" s="112" t="s">
        <v>5</v>
      </c>
      <c r="I2" s="111"/>
      <c r="J2" s="111"/>
      <c r="K2" s="111"/>
      <c r="L2" s="111"/>
      <c r="M2" s="1"/>
      <c r="N2" s="112" t="s">
        <v>6</v>
      </c>
      <c r="O2" s="111"/>
      <c r="P2" s="111"/>
      <c r="Q2" s="112" t="s">
        <v>7</v>
      </c>
      <c r="R2" s="111"/>
      <c r="S2" s="111"/>
      <c r="T2" s="111"/>
      <c r="U2" s="112" t="s">
        <v>8</v>
      </c>
      <c r="V2" s="111"/>
      <c r="W2" s="111"/>
      <c r="X2" s="111"/>
      <c r="Y2" s="111"/>
      <c r="Z2" s="111"/>
      <c r="AA2" s="2"/>
      <c r="AB2" s="110" t="s">
        <v>9</v>
      </c>
      <c r="AC2" s="111"/>
      <c r="AD2" s="111"/>
      <c r="AE2" s="111"/>
      <c r="AF2" s="111"/>
      <c r="AG2" s="112" t="s">
        <v>10</v>
      </c>
      <c r="AH2" s="111"/>
      <c r="AI2" s="111"/>
      <c r="AJ2" s="111"/>
      <c r="AK2" s="110" t="s">
        <v>11</v>
      </c>
      <c r="AL2" s="111"/>
      <c r="AM2" s="6" t="s">
        <v>12</v>
      </c>
      <c r="AN2" s="2" t="s">
        <v>13</v>
      </c>
      <c r="AO2" s="110" t="s">
        <v>14</v>
      </c>
      <c r="AP2" s="111"/>
      <c r="AQ2" s="111"/>
      <c r="AR2" s="111"/>
      <c r="AS2" s="110" t="s">
        <v>15</v>
      </c>
      <c r="AT2" s="111"/>
      <c r="AU2" s="111"/>
      <c r="AV2" s="111"/>
      <c r="AW2" s="111"/>
      <c r="AX2" s="111"/>
      <c r="AY2" s="111"/>
      <c r="AZ2" s="1" t="s">
        <v>16</v>
      </c>
      <c r="BA2" s="112" t="s">
        <v>17</v>
      </c>
      <c r="BB2" s="111"/>
    </row>
    <row r="3" spans="1:54" ht="34.5" customHeight="1" x14ac:dyDescent="0.35">
      <c r="A3" s="109" t="s">
        <v>18</v>
      </c>
      <c r="B3" s="109" t="s">
        <v>19</v>
      </c>
      <c r="C3" s="102" t="s">
        <v>20</v>
      </c>
      <c r="D3" s="102" t="s">
        <v>21</v>
      </c>
      <c r="E3" s="102" t="s">
        <v>22</v>
      </c>
      <c r="F3" s="102" t="s">
        <v>23</v>
      </c>
      <c r="G3" s="102" t="s">
        <v>24</v>
      </c>
      <c r="H3" s="102" t="s">
        <v>25</v>
      </c>
      <c r="I3" s="102" t="s">
        <v>26</v>
      </c>
      <c r="J3" s="102" t="s">
        <v>27</v>
      </c>
      <c r="K3" s="102" t="s">
        <v>28</v>
      </c>
      <c r="L3" s="102" t="s">
        <v>29</v>
      </c>
      <c r="M3" s="102" t="s">
        <v>30</v>
      </c>
      <c r="N3" s="102" t="s">
        <v>31</v>
      </c>
      <c r="O3" s="102" t="s">
        <v>32</v>
      </c>
      <c r="P3" s="102" t="s">
        <v>33</v>
      </c>
      <c r="Q3" s="102" t="s">
        <v>34</v>
      </c>
      <c r="R3" s="102" t="s">
        <v>35</v>
      </c>
      <c r="S3" s="102" t="s">
        <v>36</v>
      </c>
      <c r="T3" s="102" t="s">
        <v>37</v>
      </c>
      <c r="U3" s="108" t="s">
        <v>38</v>
      </c>
      <c r="V3" s="105"/>
      <c r="W3" s="105"/>
      <c r="X3" s="105"/>
      <c r="Y3" s="105"/>
      <c r="Z3" s="106"/>
      <c r="AA3" s="7"/>
      <c r="AB3" s="107" t="s">
        <v>39</v>
      </c>
      <c r="AC3" s="105"/>
      <c r="AD3" s="105"/>
      <c r="AE3" s="105"/>
      <c r="AF3" s="106"/>
      <c r="AG3" s="107" t="s">
        <v>40</v>
      </c>
      <c r="AH3" s="105"/>
      <c r="AI3" s="105"/>
      <c r="AJ3" s="106"/>
      <c r="AK3" s="107" t="s">
        <v>11</v>
      </c>
      <c r="AL3" s="106"/>
      <c r="AM3" s="8" t="s">
        <v>41</v>
      </c>
      <c r="AN3" s="7" t="s">
        <v>42</v>
      </c>
      <c r="AO3" s="107" t="s">
        <v>43</v>
      </c>
      <c r="AP3" s="105"/>
      <c r="AQ3" s="105"/>
      <c r="AR3" s="106"/>
      <c r="AS3" s="7" t="s">
        <v>44</v>
      </c>
      <c r="AT3" s="7" t="s">
        <v>45</v>
      </c>
      <c r="AU3" s="7" t="s">
        <v>46</v>
      </c>
      <c r="AV3" s="7" t="s">
        <v>45</v>
      </c>
      <c r="AW3" s="7" t="s">
        <v>47</v>
      </c>
      <c r="AX3" s="9" t="s">
        <v>48</v>
      </c>
      <c r="AY3" s="10" t="s">
        <v>49</v>
      </c>
      <c r="AZ3" s="9" t="s">
        <v>50</v>
      </c>
      <c r="BA3" s="11" t="s">
        <v>51</v>
      </c>
      <c r="BB3" s="11" t="s">
        <v>52</v>
      </c>
    </row>
    <row r="4" spans="1:54" ht="43.5" x14ac:dyDescent="0.3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8" t="s">
        <v>53</v>
      </c>
      <c r="V4" s="105"/>
      <c r="W4" s="106"/>
      <c r="X4" s="108" t="s">
        <v>54</v>
      </c>
      <c r="Y4" s="105"/>
      <c r="Z4" s="106"/>
      <c r="AA4" s="9" t="s">
        <v>55</v>
      </c>
      <c r="AB4" s="9" t="s">
        <v>56</v>
      </c>
      <c r="AC4" s="9" t="s">
        <v>57</v>
      </c>
      <c r="AD4" s="9" t="s">
        <v>58</v>
      </c>
      <c r="AE4" s="9" t="s">
        <v>59</v>
      </c>
      <c r="AF4" s="9" t="s">
        <v>60</v>
      </c>
      <c r="AG4" s="9" t="s">
        <v>61</v>
      </c>
      <c r="AH4" s="9" t="s">
        <v>62</v>
      </c>
      <c r="AI4" s="9" t="s">
        <v>63</v>
      </c>
      <c r="AJ4" s="9" t="s">
        <v>64</v>
      </c>
      <c r="AK4" s="7" t="s">
        <v>65</v>
      </c>
      <c r="AL4" s="9" t="s">
        <v>66</v>
      </c>
      <c r="AM4" s="9"/>
      <c r="AN4" s="9" t="s">
        <v>67</v>
      </c>
      <c r="AO4" s="9" t="s">
        <v>68</v>
      </c>
      <c r="AP4" s="9" t="s">
        <v>69</v>
      </c>
      <c r="AQ4" s="9" t="s">
        <v>70</v>
      </c>
      <c r="AR4" s="9" t="s">
        <v>71</v>
      </c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 ht="22.5" customHeight="1" x14ac:dyDescent="0.35">
      <c r="A5" s="12"/>
      <c r="B5" s="12"/>
      <c r="C5" s="104" t="s">
        <v>72</v>
      </c>
      <c r="D5" s="105"/>
      <c r="E5" s="105"/>
      <c r="F5" s="105"/>
      <c r="G5" s="106"/>
      <c r="H5" s="114"/>
      <c r="I5" s="105"/>
      <c r="J5" s="105"/>
      <c r="K5" s="105"/>
      <c r="L5" s="13"/>
      <c r="M5" s="13"/>
      <c r="N5" s="13"/>
      <c r="O5" s="13"/>
      <c r="P5" s="13"/>
      <c r="Q5" s="13"/>
      <c r="R5" s="13"/>
      <c r="S5" s="13"/>
      <c r="T5" s="13"/>
      <c r="U5" s="11" t="s">
        <v>73</v>
      </c>
      <c r="V5" s="11" t="s">
        <v>74</v>
      </c>
      <c r="W5" s="11" t="s">
        <v>75</v>
      </c>
      <c r="X5" s="11" t="s">
        <v>73</v>
      </c>
      <c r="Y5" s="11" t="s">
        <v>74</v>
      </c>
      <c r="Z5" s="11" t="s">
        <v>75</v>
      </c>
      <c r="AA5" s="14"/>
      <c r="AB5" s="104"/>
      <c r="AC5" s="105"/>
      <c r="AD5" s="105"/>
      <c r="AE5" s="106"/>
      <c r="AF5" s="14"/>
      <c r="AG5" s="14"/>
      <c r="AH5" s="11" t="s">
        <v>76</v>
      </c>
      <c r="AI5" s="11" t="s">
        <v>76</v>
      </c>
      <c r="AJ5" s="11"/>
      <c r="AK5" s="104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6"/>
      <c r="AZ5" s="15"/>
      <c r="BA5" s="15"/>
      <c r="BB5" s="15"/>
    </row>
    <row r="6" spans="1:54" ht="14.5" x14ac:dyDescent="0.35">
      <c r="A6" s="16">
        <v>1</v>
      </c>
      <c r="B6" s="17" t="s">
        <v>77</v>
      </c>
      <c r="C6" s="18">
        <v>125758</v>
      </c>
      <c r="D6" s="19">
        <v>64687</v>
      </c>
      <c r="E6" s="19">
        <v>61071</v>
      </c>
      <c r="F6" s="20">
        <v>0.51</v>
      </c>
      <c r="G6" s="20">
        <v>0.49</v>
      </c>
      <c r="H6" s="21">
        <v>148615465215</v>
      </c>
      <c r="I6" s="22">
        <f t="shared" ref="I6:I8" si="0">H6/L6</f>
        <v>0.41467291018484098</v>
      </c>
      <c r="J6" s="23">
        <v>209776562730</v>
      </c>
      <c r="K6" s="24">
        <f t="shared" ref="K6:K8" si="1">J6/L6</f>
        <v>0.58532708981515902</v>
      </c>
      <c r="L6" s="26">
        <f t="shared" ref="L6:L8" si="2">H6+J6</f>
        <v>358392027945</v>
      </c>
      <c r="M6" s="27" t="s">
        <v>78</v>
      </c>
      <c r="N6" s="26">
        <v>1073275</v>
      </c>
      <c r="O6" s="28">
        <v>1164593</v>
      </c>
      <c r="P6" s="29" t="s">
        <v>79</v>
      </c>
      <c r="Q6" s="18">
        <v>8430856553269</v>
      </c>
      <c r="R6" s="18">
        <v>12190</v>
      </c>
      <c r="S6" s="18">
        <v>838712</v>
      </c>
      <c r="T6" s="30">
        <f t="shared" ref="T6:T30" si="3">R6/S6</f>
        <v>1.4534190520703174E-2</v>
      </c>
      <c r="U6" s="26">
        <v>678</v>
      </c>
      <c r="V6" s="26">
        <v>3900359.71</v>
      </c>
      <c r="W6" s="26">
        <v>916058590450</v>
      </c>
      <c r="X6" s="26">
        <v>1854</v>
      </c>
      <c r="Y6" s="26">
        <v>15468593</v>
      </c>
      <c r="Z6" s="26">
        <v>4924386939541</v>
      </c>
      <c r="AA6" s="31">
        <f t="shared" ref="AA6:AA8" si="4">X6/(U6+X6)</f>
        <v>0.73222748815165872</v>
      </c>
      <c r="AB6" s="33" t="s">
        <v>80</v>
      </c>
      <c r="AC6" s="26">
        <v>2928</v>
      </c>
      <c r="AD6" s="29">
        <v>2024</v>
      </c>
      <c r="AE6" s="34">
        <v>742277</v>
      </c>
      <c r="AF6" s="34" t="s">
        <v>82</v>
      </c>
      <c r="AG6" s="35">
        <v>2021</v>
      </c>
      <c r="AH6" s="36">
        <v>343.99</v>
      </c>
      <c r="AI6" s="37">
        <v>23998.639999999999</v>
      </c>
      <c r="AJ6" s="16" t="s">
        <v>83</v>
      </c>
      <c r="AK6" s="16" t="s">
        <v>84</v>
      </c>
      <c r="AL6" s="38" t="s">
        <v>83</v>
      </c>
      <c r="AM6" s="39">
        <v>0</v>
      </c>
      <c r="AN6" s="38" t="s">
        <v>85</v>
      </c>
      <c r="AO6" s="16">
        <v>11</v>
      </c>
      <c r="AP6" s="16">
        <v>11</v>
      </c>
      <c r="AQ6" s="40">
        <f>AP6/AO6</f>
        <v>1</v>
      </c>
      <c r="AR6" s="41">
        <f t="shared" ref="AR6:AR8" si="5">100%-AQ6</f>
        <v>0</v>
      </c>
      <c r="AS6" s="42">
        <v>527387</v>
      </c>
      <c r="AT6" s="44">
        <f t="shared" ref="AT6:AT8" si="6">AS6/(AS6+AU6)*100</f>
        <v>62.901582954849054</v>
      </c>
      <c r="AU6" s="42">
        <v>311045</v>
      </c>
      <c r="AV6" s="44">
        <f t="shared" ref="AV6:AV8" si="7">AU6/(AU6+AS6)*100</f>
        <v>37.098417045150953</v>
      </c>
      <c r="AW6" s="45">
        <v>1978382</v>
      </c>
      <c r="AX6" s="42">
        <f>AS6+AU6</f>
        <v>838432</v>
      </c>
      <c r="AY6" s="46">
        <f t="shared" ref="AY6:AY8" si="8">(AW6-AX6)/AW6</f>
        <v>0.57620318017450622</v>
      </c>
      <c r="AZ6" s="38" t="s">
        <v>86</v>
      </c>
      <c r="BA6" s="48">
        <v>51288</v>
      </c>
      <c r="BB6" s="19">
        <f>85340577/10000</f>
        <v>8534.0576999999994</v>
      </c>
    </row>
    <row r="7" spans="1:54" ht="15.5" x14ac:dyDescent="0.35">
      <c r="A7" s="16">
        <v>2</v>
      </c>
      <c r="B7" s="17" t="s">
        <v>87</v>
      </c>
      <c r="C7" s="18">
        <v>95489</v>
      </c>
      <c r="D7" s="18">
        <v>50006</v>
      </c>
      <c r="E7" s="19">
        <v>45484</v>
      </c>
      <c r="F7" s="20">
        <v>0.52</v>
      </c>
      <c r="G7" s="20">
        <v>0.48</v>
      </c>
      <c r="H7" s="21">
        <v>127585540798</v>
      </c>
      <c r="I7" s="22">
        <f t="shared" si="0"/>
        <v>0.37707359632125081</v>
      </c>
      <c r="J7" s="19">
        <v>210771591716</v>
      </c>
      <c r="K7" s="24">
        <f t="shared" si="1"/>
        <v>0.62292640367874919</v>
      </c>
      <c r="L7" s="26">
        <f t="shared" si="2"/>
        <v>338357132514</v>
      </c>
      <c r="M7" s="27" t="s">
        <v>78</v>
      </c>
      <c r="N7" s="26">
        <v>669540</v>
      </c>
      <c r="O7" s="28">
        <v>614750</v>
      </c>
      <c r="P7" s="29" t="s">
        <v>81</v>
      </c>
      <c r="Q7" s="18">
        <v>5309720997750</v>
      </c>
      <c r="R7" s="18">
        <v>5355</v>
      </c>
      <c r="S7" s="18">
        <v>518049</v>
      </c>
      <c r="T7" s="30">
        <f t="shared" si="3"/>
        <v>1.0336860026754225E-2</v>
      </c>
      <c r="U7" s="26">
        <v>1789</v>
      </c>
      <c r="V7" s="49" t="s">
        <v>88</v>
      </c>
      <c r="W7" s="26">
        <v>681331142340</v>
      </c>
      <c r="X7" s="26">
        <v>1993</v>
      </c>
      <c r="Y7" s="26" t="s">
        <v>89</v>
      </c>
      <c r="Z7" s="26" t="s">
        <v>90</v>
      </c>
      <c r="AA7" s="31">
        <f t="shared" si="4"/>
        <v>0.52696985721840295</v>
      </c>
      <c r="AB7" s="50" t="s">
        <v>91</v>
      </c>
      <c r="AC7" s="26">
        <v>2954</v>
      </c>
      <c r="AD7" s="29">
        <v>2025</v>
      </c>
      <c r="AE7" s="34">
        <v>283241</v>
      </c>
      <c r="AF7" s="34" t="s">
        <v>82</v>
      </c>
      <c r="AG7" s="35">
        <v>2021</v>
      </c>
      <c r="AH7" s="51">
        <v>82.53</v>
      </c>
      <c r="AI7" s="52">
        <v>14340.76</v>
      </c>
      <c r="AJ7" s="16" t="s">
        <v>83</v>
      </c>
      <c r="AK7" s="16" t="s">
        <v>84</v>
      </c>
      <c r="AL7" s="38" t="s">
        <v>84</v>
      </c>
      <c r="AM7" s="53">
        <v>1.33866879521</v>
      </c>
      <c r="AN7" s="38" t="s">
        <v>92</v>
      </c>
      <c r="AO7" s="16">
        <v>0</v>
      </c>
      <c r="AP7" s="16">
        <v>0</v>
      </c>
      <c r="AQ7" s="40">
        <v>0</v>
      </c>
      <c r="AR7" s="41">
        <f t="shared" si="5"/>
        <v>1</v>
      </c>
      <c r="AS7" s="42">
        <v>415247</v>
      </c>
      <c r="AT7" s="44">
        <f t="shared" si="6"/>
        <v>80.193237647931284</v>
      </c>
      <c r="AU7" s="42">
        <v>102561</v>
      </c>
      <c r="AV7" s="44">
        <f t="shared" si="7"/>
        <v>19.80676235206872</v>
      </c>
      <c r="AW7" s="54">
        <v>998356</v>
      </c>
      <c r="AX7" s="42">
        <f t="shared" ref="AX7:AX8" si="9">SUM(AS7+AU7)</f>
        <v>517808</v>
      </c>
      <c r="AY7" s="46">
        <f t="shared" si="8"/>
        <v>0.48133932184511335</v>
      </c>
      <c r="AZ7" s="38" t="s">
        <v>86</v>
      </c>
      <c r="BA7" s="48">
        <v>19050</v>
      </c>
      <c r="BB7" s="19">
        <f>129580561/10000</f>
        <v>12958.0561</v>
      </c>
    </row>
    <row r="8" spans="1:54" ht="14.5" x14ac:dyDescent="0.35">
      <c r="A8" s="16">
        <v>3</v>
      </c>
      <c r="B8" s="17" t="s">
        <v>94</v>
      </c>
      <c r="C8" s="18">
        <v>115355</v>
      </c>
      <c r="D8" s="18">
        <v>94973</v>
      </c>
      <c r="E8" s="19">
        <v>20381</v>
      </c>
      <c r="F8" s="20">
        <v>0.82</v>
      </c>
      <c r="G8" s="20">
        <v>0.18</v>
      </c>
      <c r="H8" s="21">
        <v>842092814897</v>
      </c>
      <c r="I8" s="22">
        <f t="shared" si="0"/>
        <v>0.52174775202933887</v>
      </c>
      <c r="J8" s="23">
        <v>771891743008</v>
      </c>
      <c r="K8" s="24">
        <f t="shared" si="1"/>
        <v>0.47825224797066118</v>
      </c>
      <c r="L8" s="26">
        <f t="shared" si="2"/>
        <v>1613984557905</v>
      </c>
      <c r="M8" s="27" t="s">
        <v>93</v>
      </c>
      <c r="N8" s="26">
        <v>1523188</v>
      </c>
      <c r="O8" s="28">
        <v>1315247</v>
      </c>
      <c r="P8" s="29" t="s">
        <v>79</v>
      </c>
      <c r="Q8" s="18">
        <v>32146532207919</v>
      </c>
      <c r="R8" s="18">
        <v>22859</v>
      </c>
      <c r="S8" s="18">
        <v>1491223</v>
      </c>
      <c r="T8" s="30">
        <f t="shared" si="3"/>
        <v>1.532902858928544E-2</v>
      </c>
      <c r="U8" s="26">
        <v>5031</v>
      </c>
      <c r="V8" s="26">
        <v>24248554.73</v>
      </c>
      <c r="W8" s="26">
        <v>5747364627983</v>
      </c>
      <c r="X8" s="26">
        <v>4198</v>
      </c>
      <c r="Y8" s="26">
        <v>18105836.640000001</v>
      </c>
      <c r="Z8" s="56">
        <v>4273858263879</v>
      </c>
      <c r="AA8" s="31">
        <f t="shared" si="4"/>
        <v>0.45487051684906271</v>
      </c>
      <c r="AB8" s="50" t="s">
        <v>95</v>
      </c>
      <c r="AC8" s="26">
        <v>2447</v>
      </c>
      <c r="AD8" s="57" t="s">
        <v>96</v>
      </c>
      <c r="AE8" s="34">
        <v>2309826</v>
      </c>
      <c r="AF8" s="34" t="s">
        <v>82</v>
      </c>
      <c r="AG8" s="51">
        <v>2023</v>
      </c>
      <c r="AH8" s="51">
        <v>679</v>
      </c>
      <c r="AI8" s="52">
        <v>35761.279999999999</v>
      </c>
      <c r="AJ8" s="16" t="s">
        <v>83</v>
      </c>
      <c r="AK8" s="16" t="s">
        <v>84</v>
      </c>
      <c r="AL8" s="38" t="s">
        <v>83</v>
      </c>
      <c r="AM8" s="39">
        <v>0</v>
      </c>
      <c r="AN8" s="38" t="s">
        <v>92</v>
      </c>
      <c r="AO8" s="16">
        <v>4</v>
      </c>
      <c r="AP8" s="16">
        <v>4</v>
      </c>
      <c r="AQ8" s="40">
        <f t="shared" ref="AQ8" si="10">AP8/AO8</f>
        <v>1</v>
      </c>
      <c r="AR8" s="41">
        <f t="shared" si="5"/>
        <v>0</v>
      </c>
      <c r="AS8" s="42">
        <v>870290</v>
      </c>
      <c r="AT8" s="44">
        <f t="shared" si="6"/>
        <v>58.240647794954157</v>
      </c>
      <c r="AU8" s="42">
        <v>624010</v>
      </c>
      <c r="AV8" s="44">
        <f t="shared" si="7"/>
        <v>41.759352205045843</v>
      </c>
      <c r="AW8" s="58">
        <v>1747946</v>
      </c>
      <c r="AX8" s="42">
        <f t="shared" si="9"/>
        <v>1494300</v>
      </c>
      <c r="AY8" s="46">
        <f t="shared" si="8"/>
        <v>0.14511089015335715</v>
      </c>
      <c r="AZ8" s="38" t="s">
        <v>86</v>
      </c>
      <c r="BA8" s="48">
        <v>52923</v>
      </c>
      <c r="BB8" s="19">
        <f>109815973/10000</f>
        <v>10981.597299999999</v>
      </c>
    </row>
    <row r="9" spans="1:54" ht="15.5" x14ac:dyDescent="0.35">
      <c r="A9" s="16">
        <v>6</v>
      </c>
      <c r="B9" s="17" t="s">
        <v>102</v>
      </c>
      <c r="C9" s="18">
        <v>141610</v>
      </c>
      <c r="D9" s="18">
        <v>56592</v>
      </c>
      <c r="E9" s="19">
        <v>85018</v>
      </c>
      <c r="F9" s="20">
        <v>0.4</v>
      </c>
      <c r="G9" s="20">
        <v>0.6</v>
      </c>
      <c r="H9" s="21">
        <v>25877390287</v>
      </c>
      <c r="I9" s="22">
        <f t="shared" ref="I9:I30" si="11">H9/L9</f>
        <v>0.74016787111782989</v>
      </c>
      <c r="J9" s="23">
        <v>9084124927</v>
      </c>
      <c r="K9" s="24">
        <f t="shared" ref="K9:K30" si="12">J9/L9</f>
        <v>0.25983212888217011</v>
      </c>
      <c r="L9" s="26">
        <f t="shared" ref="L9:L30" si="13">H9+J9</f>
        <v>34961515214</v>
      </c>
      <c r="M9" s="27" t="s">
        <v>78</v>
      </c>
      <c r="N9" s="26">
        <v>880525</v>
      </c>
      <c r="O9" s="28">
        <v>1363814</v>
      </c>
      <c r="P9" s="29" t="s">
        <v>81</v>
      </c>
      <c r="Q9" s="18">
        <v>867570822793</v>
      </c>
      <c r="R9" s="18">
        <v>2554</v>
      </c>
      <c r="S9" s="18">
        <v>638631</v>
      </c>
      <c r="T9" s="30">
        <f t="shared" si="3"/>
        <v>3.9991794948882843E-3</v>
      </c>
      <c r="U9" s="26">
        <v>739</v>
      </c>
      <c r="V9" s="26">
        <v>4942138</v>
      </c>
      <c r="W9" s="26">
        <v>287253851610</v>
      </c>
      <c r="X9" s="26">
        <v>306</v>
      </c>
      <c r="Y9" s="26">
        <v>5476207</v>
      </c>
      <c r="Z9" s="26">
        <v>117812518847</v>
      </c>
      <c r="AA9" s="31">
        <f t="shared" ref="AA9:AA30" si="14">X9/(U9+X9)</f>
        <v>0.29282296650717704</v>
      </c>
      <c r="AB9" s="50" t="s">
        <v>103</v>
      </c>
      <c r="AC9" s="26">
        <v>947</v>
      </c>
      <c r="AD9" s="29">
        <v>2026</v>
      </c>
      <c r="AE9" s="34">
        <v>319277</v>
      </c>
      <c r="AF9" s="34" t="s">
        <v>82</v>
      </c>
      <c r="AG9" s="51">
        <v>2021</v>
      </c>
      <c r="AH9" s="51">
        <v>366.54</v>
      </c>
      <c r="AI9" s="52">
        <v>28446.5</v>
      </c>
      <c r="AJ9" s="16" t="s">
        <v>83</v>
      </c>
      <c r="AK9" s="16" t="s">
        <v>84</v>
      </c>
      <c r="AL9" s="38" t="s">
        <v>83</v>
      </c>
      <c r="AM9" s="39">
        <v>0</v>
      </c>
      <c r="AN9" s="38" t="s">
        <v>92</v>
      </c>
      <c r="AO9" s="16">
        <v>2</v>
      </c>
      <c r="AP9" s="16">
        <v>2</v>
      </c>
      <c r="AQ9" s="40">
        <f>AP9/AO9</f>
        <v>1</v>
      </c>
      <c r="AR9" s="41">
        <f t="shared" ref="AR9:AR30" si="15">100%-AQ9</f>
        <v>0</v>
      </c>
      <c r="AS9" s="42">
        <v>535277</v>
      </c>
      <c r="AT9" s="44">
        <f t="shared" ref="AT9:AT30" si="16">AS9/(AS9+AU9)*100</f>
        <v>83.782603523622285</v>
      </c>
      <c r="AU9" s="42">
        <v>103611</v>
      </c>
      <c r="AV9" s="44">
        <f t="shared" ref="AV9:AV30" si="17">AU9/(AU9+AS9)*100</f>
        <v>16.217396476377708</v>
      </c>
      <c r="AW9" s="54">
        <v>748053</v>
      </c>
      <c r="AX9" s="42">
        <f t="shared" ref="AX9:AX30" si="18">SUM(AS9+AU9)</f>
        <v>638888</v>
      </c>
      <c r="AY9" s="46">
        <f t="shared" ref="AY9:AY30" si="19">(AW9-AX9)/AW9</f>
        <v>0.14593217325510358</v>
      </c>
      <c r="AZ9" s="38" t="s">
        <v>99</v>
      </c>
      <c r="BA9" s="48">
        <v>26360</v>
      </c>
      <c r="BB9" s="19">
        <f>68190971/10000</f>
        <v>6819.0971</v>
      </c>
    </row>
    <row r="10" spans="1:54" ht="14.5" x14ac:dyDescent="0.35">
      <c r="A10" s="16">
        <v>7</v>
      </c>
      <c r="B10" s="17" t="s">
        <v>104</v>
      </c>
      <c r="C10" s="18">
        <v>263036</v>
      </c>
      <c r="D10" s="18">
        <v>72476</v>
      </c>
      <c r="E10" s="19">
        <v>190561</v>
      </c>
      <c r="F10" s="20">
        <v>0.28000000000000003</v>
      </c>
      <c r="G10" s="20">
        <v>0.72</v>
      </c>
      <c r="H10" s="21">
        <v>65302620284</v>
      </c>
      <c r="I10" s="22">
        <f t="shared" si="11"/>
        <v>0.55372672255672228</v>
      </c>
      <c r="J10" s="23">
        <v>52630319601</v>
      </c>
      <c r="K10" s="24">
        <f t="shared" si="12"/>
        <v>0.44627327744327772</v>
      </c>
      <c r="L10" s="26">
        <f t="shared" si="13"/>
        <v>117932939885</v>
      </c>
      <c r="M10" s="27" t="s">
        <v>78</v>
      </c>
      <c r="N10" s="26">
        <v>644536</v>
      </c>
      <c r="O10" s="28">
        <v>1206843</v>
      </c>
      <c r="P10" s="29" t="s">
        <v>81</v>
      </c>
      <c r="Q10" s="18">
        <v>2086285991800</v>
      </c>
      <c r="R10" s="18">
        <v>3695</v>
      </c>
      <c r="S10" s="18">
        <v>498489</v>
      </c>
      <c r="T10" s="30">
        <f t="shared" si="3"/>
        <v>7.4124002736269002E-3</v>
      </c>
      <c r="U10" s="26">
        <v>516</v>
      </c>
      <c r="V10" s="26">
        <v>3132258</v>
      </c>
      <c r="W10" s="26">
        <v>600955333442</v>
      </c>
      <c r="X10" s="26">
        <v>1180</v>
      </c>
      <c r="Y10" s="59">
        <v>9888688.7899999991</v>
      </c>
      <c r="Z10" s="60">
        <v>937461828918</v>
      </c>
      <c r="AA10" s="31">
        <f t="shared" si="14"/>
        <v>0.69575471698113212</v>
      </c>
      <c r="AB10" s="50" t="s">
        <v>105</v>
      </c>
      <c r="AC10" s="26">
        <v>230</v>
      </c>
      <c r="AD10" s="29">
        <v>2025</v>
      </c>
      <c r="AE10" s="34">
        <v>259471</v>
      </c>
      <c r="AF10" s="34" t="s">
        <v>82</v>
      </c>
      <c r="AG10" s="51">
        <v>2024</v>
      </c>
      <c r="AH10" s="36">
        <v>34.4</v>
      </c>
      <c r="AI10" s="37">
        <v>55776.88</v>
      </c>
      <c r="AJ10" s="43" t="s">
        <v>84</v>
      </c>
      <c r="AK10" s="16" t="s">
        <v>84</v>
      </c>
      <c r="AL10" s="38" t="s">
        <v>83</v>
      </c>
      <c r="AM10" s="61">
        <v>13.660698882369999</v>
      </c>
      <c r="AN10" s="38" t="s">
        <v>92</v>
      </c>
      <c r="AO10" s="16">
        <v>0</v>
      </c>
      <c r="AP10" s="16">
        <v>0</v>
      </c>
      <c r="AQ10" s="40">
        <v>0</v>
      </c>
      <c r="AR10" s="41">
        <f t="shared" si="15"/>
        <v>1</v>
      </c>
      <c r="AS10" s="42">
        <v>389422</v>
      </c>
      <c r="AT10" s="44">
        <f t="shared" si="16"/>
        <v>78.089776111172384</v>
      </c>
      <c r="AU10" s="42">
        <v>109263</v>
      </c>
      <c r="AV10" s="44">
        <f t="shared" si="17"/>
        <v>21.910223888827616</v>
      </c>
      <c r="AW10" s="58">
        <v>1372546</v>
      </c>
      <c r="AX10" s="42">
        <f t="shared" si="18"/>
        <v>498685</v>
      </c>
      <c r="AY10" s="46">
        <f t="shared" si="19"/>
        <v>0.6366715578202844</v>
      </c>
      <c r="AZ10" s="38" t="s">
        <v>86</v>
      </c>
      <c r="BA10" s="48">
        <v>14714</v>
      </c>
      <c r="BB10" s="19">
        <f>35179383/10000</f>
        <v>3517.9382999999998</v>
      </c>
    </row>
    <row r="11" spans="1:54" ht="15.5" x14ac:dyDescent="0.35">
      <c r="A11" s="16">
        <v>8</v>
      </c>
      <c r="B11" s="17" t="s">
        <v>106</v>
      </c>
      <c r="C11" s="18">
        <v>101569</v>
      </c>
      <c r="D11" s="18">
        <v>43643</v>
      </c>
      <c r="E11" s="19">
        <v>57926</v>
      </c>
      <c r="F11" s="20">
        <v>0.43</v>
      </c>
      <c r="G11" s="20">
        <v>0.56999999999999995</v>
      </c>
      <c r="H11" s="21">
        <v>93988446594</v>
      </c>
      <c r="I11" s="22">
        <f t="shared" si="11"/>
        <v>0.57471866271802419</v>
      </c>
      <c r="J11" s="23">
        <v>69549737723</v>
      </c>
      <c r="K11" s="24">
        <f t="shared" si="12"/>
        <v>0.42528133728197581</v>
      </c>
      <c r="L11" s="26">
        <f t="shared" si="13"/>
        <v>163538184317</v>
      </c>
      <c r="M11" s="27" t="s">
        <v>78</v>
      </c>
      <c r="N11" s="26">
        <v>838455</v>
      </c>
      <c r="O11" s="28">
        <v>798590</v>
      </c>
      <c r="P11" s="29" t="s">
        <v>79</v>
      </c>
      <c r="Q11" s="18">
        <v>3578015910293</v>
      </c>
      <c r="R11" s="18">
        <v>5711</v>
      </c>
      <c r="S11" s="18">
        <v>619713</v>
      </c>
      <c r="T11" s="30">
        <f t="shared" si="3"/>
        <v>9.2155562332886347E-3</v>
      </c>
      <c r="U11" s="26">
        <v>814</v>
      </c>
      <c r="V11" s="26">
        <v>17002990.760000002</v>
      </c>
      <c r="W11" s="26">
        <v>332831195169.29999</v>
      </c>
      <c r="X11" s="26">
        <v>1483</v>
      </c>
      <c r="Y11" s="26">
        <v>9176343.2200000007</v>
      </c>
      <c r="Z11" s="26">
        <v>397867947596</v>
      </c>
      <c r="AA11" s="31">
        <f t="shared" si="14"/>
        <v>0.64562472790596426</v>
      </c>
      <c r="AB11" s="50" t="s">
        <v>107</v>
      </c>
      <c r="AC11" s="26">
        <v>1060</v>
      </c>
      <c r="AD11" s="29">
        <v>2026</v>
      </c>
      <c r="AE11" s="34">
        <v>1225325</v>
      </c>
      <c r="AF11" s="34" t="s">
        <v>82</v>
      </c>
      <c r="AG11" s="51">
        <v>2021</v>
      </c>
      <c r="AH11" s="51">
        <v>88.08</v>
      </c>
      <c r="AI11" s="52">
        <v>44274.239999999998</v>
      </c>
      <c r="AJ11" s="43" t="s">
        <v>84</v>
      </c>
      <c r="AK11" s="16" t="s">
        <v>84</v>
      </c>
      <c r="AL11" s="38" t="s">
        <v>83</v>
      </c>
      <c r="AM11" s="39">
        <v>0</v>
      </c>
      <c r="AN11" s="38" t="s">
        <v>92</v>
      </c>
      <c r="AO11" s="16">
        <v>1</v>
      </c>
      <c r="AP11" s="16">
        <v>1</v>
      </c>
      <c r="AQ11" s="40">
        <f>AP11/AO11</f>
        <v>1</v>
      </c>
      <c r="AR11" s="41">
        <f t="shared" si="15"/>
        <v>0</v>
      </c>
      <c r="AS11" s="42">
        <v>377470</v>
      </c>
      <c r="AT11" s="44">
        <f t="shared" si="16"/>
        <v>60.63219913999842</v>
      </c>
      <c r="AU11" s="42">
        <v>245087</v>
      </c>
      <c r="AV11" s="44">
        <f t="shared" si="17"/>
        <v>39.367800860001573</v>
      </c>
      <c r="AW11" s="54">
        <v>1344328</v>
      </c>
      <c r="AX11" s="42">
        <f t="shared" si="18"/>
        <v>622557</v>
      </c>
      <c r="AY11" s="46">
        <f t="shared" si="19"/>
        <v>0.53690096464553294</v>
      </c>
      <c r="AZ11" s="38" t="s">
        <v>86</v>
      </c>
      <c r="BA11" s="48">
        <v>63870</v>
      </c>
      <c r="BB11" s="19">
        <f>91128956/10000</f>
        <v>9112.8955999999998</v>
      </c>
    </row>
    <row r="12" spans="1:54" ht="15.5" x14ac:dyDescent="0.35">
      <c r="A12" s="16">
        <v>9</v>
      </c>
      <c r="B12" s="17" t="s">
        <v>108</v>
      </c>
      <c r="C12" s="18">
        <v>206583</v>
      </c>
      <c r="D12" s="18">
        <v>88433</v>
      </c>
      <c r="E12" s="19">
        <v>118150</v>
      </c>
      <c r="F12" s="20">
        <v>0.43</v>
      </c>
      <c r="G12" s="20">
        <v>0.56999999999999995</v>
      </c>
      <c r="H12" s="21">
        <v>52736376469</v>
      </c>
      <c r="I12" s="22">
        <f t="shared" si="11"/>
        <v>0.6852700987611865</v>
      </c>
      <c r="J12" s="23">
        <v>24220689897</v>
      </c>
      <c r="K12" s="24">
        <f t="shared" si="12"/>
        <v>0.31472990123881356</v>
      </c>
      <c r="L12" s="26">
        <f t="shared" si="13"/>
        <v>76957066366</v>
      </c>
      <c r="M12" s="27" t="s">
        <v>78</v>
      </c>
      <c r="N12" s="26">
        <v>860238</v>
      </c>
      <c r="O12" s="28">
        <v>1385053</v>
      </c>
      <c r="P12" s="29" t="s">
        <v>81</v>
      </c>
      <c r="Q12" s="18">
        <v>1563822950838</v>
      </c>
      <c r="R12" s="18">
        <v>2928</v>
      </c>
      <c r="S12" s="18">
        <v>654570</v>
      </c>
      <c r="T12" s="30">
        <f t="shared" si="3"/>
        <v>4.4731655896237225E-3</v>
      </c>
      <c r="U12" s="26">
        <v>2070</v>
      </c>
      <c r="V12" s="26">
        <v>6365072</v>
      </c>
      <c r="W12" s="26">
        <v>804690296665</v>
      </c>
      <c r="X12" s="26">
        <v>612</v>
      </c>
      <c r="Y12" s="26">
        <v>9571870</v>
      </c>
      <c r="Z12" s="26">
        <v>221111277983</v>
      </c>
      <c r="AA12" s="31">
        <f t="shared" si="14"/>
        <v>0.22818791946308725</v>
      </c>
      <c r="AB12" s="50" t="s">
        <v>101</v>
      </c>
      <c r="AC12" s="26">
        <v>3142</v>
      </c>
      <c r="AD12" s="29">
        <v>2025</v>
      </c>
      <c r="AE12" s="34">
        <v>425331</v>
      </c>
      <c r="AF12" s="34" t="s">
        <v>109</v>
      </c>
      <c r="AG12" s="51">
        <v>2024</v>
      </c>
      <c r="AH12" s="36">
        <v>32</v>
      </c>
      <c r="AI12" s="37">
        <v>41437.160000000003</v>
      </c>
      <c r="AJ12" s="16" t="s">
        <v>83</v>
      </c>
      <c r="AK12" s="16" t="s">
        <v>84</v>
      </c>
      <c r="AL12" s="38" t="s">
        <v>84</v>
      </c>
      <c r="AM12" s="39">
        <v>0</v>
      </c>
      <c r="AN12" s="38" t="s">
        <v>92</v>
      </c>
      <c r="AO12" s="16">
        <v>0</v>
      </c>
      <c r="AP12" s="16">
        <v>0</v>
      </c>
      <c r="AQ12" s="40">
        <v>0</v>
      </c>
      <c r="AR12" s="41">
        <f t="shared" si="15"/>
        <v>1</v>
      </c>
      <c r="AS12" s="42">
        <v>449903</v>
      </c>
      <c r="AT12" s="44">
        <f t="shared" si="16"/>
        <v>68.721159530090318</v>
      </c>
      <c r="AU12" s="42">
        <v>204776</v>
      </c>
      <c r="AV12" s="44">
        <f t="shared" si="17"/>
        <v>31.278840469909682</v>
      </c>
      <c r="AW12" s="54">
        <v>1405816</v>
      </c>
      <c r="AX12" s="42">
        <f t="shared" si="18"/>
        <v>654679</v>
      </c>
      <c r="AY12" s="46">
        <f t="shared" si="19"/>
        <v>0.53430676560801693</v>
      </c>
      <c r="AZ12" s="38" t="s">
        <v>86</v>
      </c>
      <c r="BA12" s="48">
        <v>42235</v>
      </c>
      <c r="BB12" s="19">
        <f>122645850/10000</f>
        <v>12264.584999999999</v>
      </c>
    </row>
    <row r="13" spans="1:54" ht="15.75" customHeight="1" x14ac:dyDescent="0.35">
      <c r="A13" s="16">
        <v>10</v>
      </c>
      <c r="B13" s="17" t="s">
        <v>110</v>
      </c>
      <c r="C13" s="18">
        <v>167742</v>
      </c>
      <c r="D13" s="18">
        <v>69332</v>
      </c>
      <c r="E13" s="19">
        <v>98410</v>
      </c>
      <c r="F13" s="20">
        <v>0.41</v>
      </c>
      <c r="G13" s="20">
        <v>0.59</v>
      </c>
      <c r="H13" s="21">
        <v>97215688417</v>
      </c>
      <c r="I13" s="22">
        <f t="shared" si="11"/>
        <v>0.67407265749455703</v>
      </c>
      <c r="J13" s="23">
        <v>47005690890</v>
      </c>
      <c r="K13" s="24">
        <f t="shared" si="12"/>
        <v>0.32592734250544303</v>
      </c>
      <c r="L13" s="26">
        <f t="shared" si="13"/>
        <v>144221379307</v>
      </c>
      <c r="M13" s="27" t="s">
        <v>93</v>
      </c>
      <c r="N13" s="26">
        <v>665024</v>
      </c>
      <c r="O13" s="28">
        <v>683073</v>
      </c>
      <c r="P13" s="29" t="s">
        <v>81</v>
      </c>
      <c r="Q13" s="18">
        <v>2317410362696</v>
      </c>
      <c r="R13" s="18">
        <v>3315</v>
      </c>
      <c r="S13" s="18">
        <v>438021</v>
      </c>
      <c r="T13" s="30">
        <f t="shared" si="3"/>
        <v>7.5681302951228369E-3</v>
      </c>
      <c r="U13" s="51">
        <v>938</v>
      </c>
      <c r="V13" s="51" t="s">
        <v>111</v>
      </c>
      <c r="W13" s="51" t="s">
        <v>112</v>
      </c>
      <c r="X13" s="51">
        <v>852</v>
      </c>
      <c r="Y13" s="32">
        <v>3110327788</v>
      </c>
      <c r="Z13" s="32">
        <v>470484756646</v>
      </c>
      <c r="AA13" s="31">
        <f t="shared" si="14"/>
        <v>0.47597765363128491</v>
      </c>
      <c r="AB13" s="33" t="s">
        <v>113</v>
      </c>
      <c r="AC13" s="26">
        <v>59</v>
      </c>
      <c r="AD13" s="29">
        <v>2025</v>
      </c>
      <c r="AE13" s="34">
        <v>620356</v>
      </c>
      <c r="AF13" s="34" t="s">
        <v>82</v>
      </c>
      <c r="AG13" s="35" t="s">
        <v>98</v>
      </c>
      <c r="AH13" s="35" t="s">
        <v>98</v>
      </c>
      <c r="AI13" s="25">
        <v>92888.79</v>
      </c>
      <c r="AJ13" s="43" t="s">
        <v>84</v>
      </c>
      <c r="AK13" s="16" t="s">
        <v>84</v>
      </c>
      <c r="AL13" s="38" t="s">
        <v>83</v>
      </c>
      <c r="AM13" s="39">
        <v>0</v>
      </c>
      <c r="AN13" s="35" t="s">
        <v>92</v>
      </c>
      <c r="AO13" s="43">
        <v>1</v>
      </c>
      <c r="AP13" s="43">
        <v>1</v>
      </c>
      <c r="AQ13" s="40">
        <f t="shared" ref="AQ13:AQ14" si="20">AP13/AO13</f>
        <v>1</v>
      </c>
      <c r="AR13" s="41">
        <f t="shared" si="15"/>
        <v>0</v>
      </c>
      <c r="AS13" s="42">
        <v>303763</v>
      </c>
      <c r="AT13" s="44">
        <f t="shared" si="16"/>
        <v>69.324268503367364</v>
      </c>
      <c r="AU13" s="42">
        <v>134414</v>
      </c>
      <c r="AV13" s="44">
        <f t="shared" si="17"/>
        <v>30.67573149663264</v>
      </c>
      <c r="AW13" s="54">
        <v>1114226</v>
      </c>
      <c r="AX13" s="42">
        <f t="shared" si="18"/>
        <v>438177</v>
      </c>
      <c r="AY13" s="46">
        <f t="shared" si="19"/>
        <v>0.60674315623580855</v>
      </c>
      <c r="AZ13" s="35" t="s">
        <v>86</v>
      </c>
      <c r="BA13" s="55">
        <v>46423</v>
      </c>
      <c r="BB13" s="19">
        <f>140675767/10000</f>
        <v>14067.5767</v>
      </c>
    </row>
    <row r="14" spans="1:54" ht="15.75" customHeight="1" x14ac:dyDescent="0.35">
      <c r="A14" s="16">
        <v>11</v>
      </c>
      <c r="B14" s="17" t="s">
        <v>114</v>
      </c>
      <c r="C14" s="18">
        <v>168012</v>
      </c>
      <c r="D14" s="18">
        <v>132208</v>
      </c>
      <c r="E14" s="19">
        <v>35804</v>
      </c>
      <c r="F14" s="20">
        <v>0.79</v>
      </c>
      <c r="G14" s="20">
        <v>0.21</v>
      </c>
      <c r="H14" s="21">
        <v>534926363920</v>
      </c>
      <c r="I14" s="22">
        <f t="shared" si="11"/>
        <v>0.61422324506848025</v>
      </c>
      <c r="J14" s="23">
        <v>335972561210</v>
      </c>
      <c r="K14" s="24">
        <f t="shared" si="12"/>
        <v>0.38577675493151975</v>
      </c>
      <c r="L14" s="26">
        <f t="shared" si="13"/>
        <v>870898925130</v>
      </c>
      <c r="M14" s="27" t="s">
        <v>78</v>
      </c>
      <c r="N14" s="26">
        <v>995702</v>
      </c>
      <c r="O14" s="28">
        <v>891063</v>
      </c>
      <c r="P14" s="29" t="s">
        <v>79</v>
      </c>
      <c r="Q14" s="18">
        <v>11992163767564</v>
      </c>
      <c r="R14" s="18">
        <v>8386</v>
      </c>
      <c r="S14" s="18">
        <v>928524</v>
      </c>
      <c r="T14" s="30">
        <f t="shared" si="3"/>
        <v>9.0315382262601725E-3</v>
      </c>
      <c r="U14" s="51">
        <v>1548</v>
      </c>
      <c r="V14" s="32">
        <v>6338661</v>
      </c>
      <c r="W14" s="32">
        <v>18131485438</v>
      </c>
      <c r="X14" s="51">
        <v>1288</v>
      </c>
      <c r="Y14" s="51" t="s">
        <v>98</v>
      </c>
      <c r="Z14" s="51" t="s">
        <v>98</v>
      </c>
      <c r="AA14" s="31">
        <f t="shared" si="14"/>
        <v>0.45416078984485192</v>
      </c>
      <c r="AB14" s="33" t="s">
        <v>115</v>
      </c>
      <c r="AC14" s="26">
        <v>2976</v>
      </c>
      <c r="AD14" s="29">
        <v>2023</v>
      </c>
      <c r="AE14" s="34">
        <v>350824</v>
      </c>
      <c r="AF14" s="34" t="s">
        <v>82</v>
      </c>
      <c r="AG14" s="35">
        <v>2024</v>
      </c>
      <c r="AH14" s="35">
        <v>497</v>
      </c>
      <c r="AI14" s="25">
        <v>86311.85</v>
      </c>
      <c r="AJ14" s="43" t="s">
        <v>84</v>
      </c>
      <c r="AK14" s="16" t="s">
        <v>84</v>
      </c>
      <c r="AL14" s="38" t="s">
        <v>83</v>
      </c>
      <c r="AM14" s="39">
        <v>0</v>
      </c>
      <c r="AN14" s="35" t="s">
        <v>85</v>
      </c>
      <c r="AO14" s="43">
        <v>1</v>
      </c>
      <c r="AP14" s="43">
        <v>0</v>
      </c>
      <c r="AQ14" s="40">
        <f t="shared" si="20"/>
        <v>0</v>
      </c>
      <c r="AR14" s="41">
        <f t="shared" si="15"/>
        <v>1</v>
      </c>
      <c r="AS14" s="42">
        <v>471833</v>
      </c>
      <c r="AT14" s="44">
        <f t="shared" si="16"/>
        <v>50.753231554297749</v>
      </c>
      <c r="AU14" s="42">
        <v>457828</v>
      </c>
      <c r="AV14" s="44">
        <f t="shared" si="17"/>
        <v>49.246768445702251</v>
      </c>
      <c r="AW14" s="63">
        <v>1380252</v>
      </c>
      <c r="AX14" s="42">
        <f t="shared" si="18"/>
        <v>929661</v>
      </c>
      <c r="AY14" s="46">
        <f t="shared" si="19"/>
        <v>0.32645560375931354</v>
      </c>
      <c r="AZ14" s="35" t="s">
        <v>86</v>
      </c>
      <c r="BA14" s="55">
        <v>43574</v>
      </c>
      <c r="BB14" s="19">
        <f>99363787/10000</f>
        <v>9936.3786999999993</v>
      </c>
    </row>
    <row r="15" spans="1:54" ht="15.75" customHeight="1" x14ac:dyDescent="0.35">
      <c r="A15" s="16">
        <v>12</v>
      </c>
      <c r="B15" s="17" t="s">
        <v>116</v>
      </c>
      <c r="C15" s="18">
        <v>85281</v>
      </c>
      <c r="D15" s="18">
        <v>37976</v>
      </c>
      <c r="E15" s="19">
        <v>47305</v>
      </c>
      <c r="F15" s="20">
        <v>0.45</v>
      </c>
      <c r="G15" s="20">
        <v>0.55000000000000004</v>
      </c>
      <c r="H15" s="21">
        <v>45074111208</v>
      </c>
      <c r="I15" s="22">
        <f t="shared" si="11"/>
        <v>0.74887815549914938</v>
      </c>
      <c r="J15" s="23">
        <v>15114733769</v>
      </c>
      <c r="K15" s="24">
        <f t="shared" si="12"/>
        <v>0.25112184450085068</v>
      </c>
      <c r="L15" s="26">
        <f t="shared" si="13"/>
        <v>60188844977</v>
      </c>
      <c r="M15" s="27" t="s">
        <v>93</v>
      </c>
      <c r="N15" s="26">
        <v>696303</v>
      </c>
      <c r="O15" s="28">
        <v>929270</v>
      </c>
      <c r="P15" s="29" t="s">
        <v>81</v>
      </c>
      <c r="Q15" s="18">
        <v>1431714619683</v>
      </c>
      <c r="R15" s="18">
        <v>3607</v>
      </c>
      <c r="S15" s="18">
        <v>543163</v>
      </c>
      <c r="T15" s="30">
        <f t="shared" si="3"/>
        <v>6.640732155909E-3</v>
      </c>
      <c r="U15" s="32">
        <v>1133</v>
      </c>
      <c r="V15" s="51" t="s">
        <v>117</v>
      </c>
      <c r="W15" s="51" t="s">
        <v>118</v>
      </c>
      <c r="X15" s="64">
        <v>205</v>
      </c>
      <c r="Y15" s="64">
        <v>2875641</v>
      </c>
      <c r="Z15" s="64">
        <v>83111127395</v>
      </c>
      <c r="AA15" s="31">
        <f t="shared" si="14"/>
        <v>0.1532137518684604</v>
      </c>
      <c r="AB15" s="33" t="s">
        <v>119</v>
      </c>
      <c r="AC15" s="26">
        <v>2343</v>
      </c>
      <c r="AD15" s="29">
        <v>2025</v>
      </c>
      <c r="AE15" s="34">
        <v>351255</v>
      </c>
      <c r="AF15" s="34" t="s">
        <v>82</v>
      </c>
      <c r="AG15" s="35">
        <v>2024</v>
      </c>
      <c r="AH15" s="36">
        <v>376.69</v>
      </c>
      <c r="AI15" s="37">
        <v>22588.41</v>
      </c>
      <c r="AJ15" s="43" t="s">
        <v>84</v>
      </c>
      <c r="AK15" s="16" t="s">
        <v>84</v>
      </c>
      <c r="AL15" s="38" t="s">
        <v>83</v>
      </c>
      <c r="AM15" s="39">
        <v>0</v>
      </c>
      <c r="AN15" s="62" t="s">
        <v>120</v>
      </c>
      <c r="AO15" s="43">
        <v>0</v>
      </c>
      <c r="AP15" s="43">
        <v>0</v>
      </c>
      <c r="AQ15" s="40">
        <v>0</v>
      </c>
      <c r="AR15" s="41">
        <f t="shared" si="15"/>
        <v>1</v>
      </c>
      <c r="AS15" s="42">
        <v>412097</v>
      </c>
      <c r="AT15" s="44">
        <f t="shared" si="16"/>
        <v>75.814724463626689</v>
      </c>
      <c r="AU15" s="42">
        <v>131461</v>
      </c>
      <c r="AV15" s="44">
        <f t="shared" si="17"/>
        <v>24.185275536373304</v>
      </c>
      <c r="AW15" s="63">
        <v>681309</v>
      </c>
      <c r="AX15" s="42">
        <f t="shared" si="18"/>
        <v>543558</v>
      </c>
      <c r="AY15" s="46">
        <f t="shared" si="19"/>
        <v>0.20218579234972678</v>
      </c>
      <c r="AZ15" s="35" t="s">
        <v>86</v>
      </c>
      <c r="BA15" s="55">
        <v>37715</v>
      </c>
      <c r="BB15" s="19">
        <f>59311458/10000</f>
        <v>5931.1458000000002</v>
      </c>
    </row>
    <row r="16" spans="1:54" ht="15.75" customHeight="1" x14ac:dyDescent="0.35">
      <c r="A16" s="16">
        <v>13</v>
      </c>
      <c r="B16" s="17" t="s">
        <v>122</v>
      </c>
      <c r="C16" s="18">
        <v>106970</v>
      </c>
      <c r="D16" s="18">
        <v>46965</v>
      </c>
      <c r="E16" s="19">
        <v>60006</v>
      </c>
      <c r="F16" s="20">
        <v>0.44</v>
      </c>
      <c r="G16" s="20">
        <v>0.56000000000000005</v>
      </c>
      <c r="H16" s="21">
        <v>59497054899</v>
      </c>
      <c r="I16" s="22">
        <f t="shared" si="11"/>
        <v>0.70027684058447193</v>
      </c>
      <c r="J16" s="23">
        <v>25465136410</v>
      </c>
      <c r="K16" s="24">
        <f t="shared" si="12"/>
        <v>0.29972315941552807</v>
      </c>
      <c r="L16" s="26">
        <f t="shared" si="13"/>
        <v>84962191309</v>
      </c>
      <c r="M16" s="27" t="s">
        <v>93</v>
      </c>
      <c r="N16" s="26">
        <v>686090</v>
      </c>
      <c r="O16" s="28">
        <v>984044</v>
      </c>
      <c r="P16" s="29" t="s">
        <v>81</v>
      </c>
      <c r="Q16" s="18">
        <v>1389347632997</v>
      </c>
      <c r="R16" s="18">
        <v>3217</v>
      </c>
      <c r="S16" s="18">
        <v>487316</v>
      </c>
      <c r="T16" s="30">
        <f t="shared" si="3"/>
        <v>6.6014659892143909E-3</v>
      </c>
      <c r="U16" s="51">
        <v>1218</v>
      </c>
      <c r="V16" s="32">
        <v>4642960</v>
      </c>
      <c r="W16" s="32">
        <v>329768419903</v>
      </c>
      <c r="X16" s="32">
        <v>2028</v>
      </c>
      <c r="Y16" s="32">
        <v>10530343</v>
      </c>
      <c r="Z16" s="32">
        <v>580484099251</v>
      </c>
      <c r="AA16" s="31">
        <f t="shared" si="14"/>
        <v>0.6247689463955638</v>
      </c>
      <c r="AB16" s="33" t="s">
        <v>121</v>
      </c>
      <c r="AC16" s="26">
        <v>222</v>
      </c>
      <c r="AD16" s="29">
        <v>2026</v>
      </c>
      <c r="AE16" s="34">
        <v>262390</v>
      </c>
      <c r="AF16" s="34" t="s">
        <v>82</v>
      </c>
      <c r="AG16" s="35" t="s">
        <v>98</v>
      </c>
      <c r="AH16" s="35" t="s">
        <v>98</v>
      </c>
      <c r="AI16" s="25">
        <v>36945.760000000002</v>
      </c>
      <c r="AJ16" s="16" t="s">
        <v>83</v>
      </c>
      <c r="AK16" s="16" t="s">
        <v>83</v>
      </c>
      <c r="AL16" s="38" t="s">
        <v>83</v>
      </c>
      <c r="AM16" s="35">
        <v>7.29</v>
      </c>
      <c r="AN16" s="35" t="s">
        <v>85</v>
      </c>
      <c r="AO16" s="43">
        <v>2</v>
      </c>
      <c r="AP16" s="43">
        <v>1</v>
      </c>
      <c r="AQ16" s="40">
        <f t="shared" ref="AQ16:AQ22" si="21">AP16/AO16</f>
        <v>0.5</v>
      </c>
      <c r="AR16" s="41">
        <f t="shared" si="15"/>
        <v>0.5</v>
      </c>
      <c r="AS16" s="42">
        <v>383067</v>
      </c>
      <c r="AT16" s="44">
        <f t="shared" si="16"/>
        <v>78.475948153474562</v>
      </c>
      <c r="AU16" s="42">
        <v>105066</v>
      </c>
      <c r="AV16" s="44">
        <f t="shared" si="17"/>
        <v>21.524051846525435</v>
      </c>
      <c r="AW16" s="63">
        <v>757955</v>
      </c>
      <c r="AX16" s="42">
        <f t="shared" si="18"/>
        <v>488133</v>
      </c>
      <c r="AY16" s="46">
        <f t="shared" si="19"/>
        <v>0.35598683299140449</v>
      </c>
      <c r="AZ16" s="35" t="s">
        <v>86</v>
      </c>
      <c r="BA16" s="55">
        <v>40348</v>
      </c>
      <c r="BB16" s="19">
        <f>51011839/10000</f>
        <v>5101.1839</v>
      </c>
    </row>
    <row r="17" spans="1:54" ht="15.75" customHeight="1" x14ac:dyDescent="0.35">
      <c r="A17" s="16">
        <v>15</v>
      </c>
      <c r="B17" s="17" t="s">
        <v>123</v>
      </c>
      <c r="C17" s="18">
        <v>77919</v>
      </c>
      <c r="D17" s="18">
        <v>61385</v>
      </c>
      <c r="E17" s="19">
        <v>16534</v>
      </c>
      <c r="F17" s="20">
        <v>0.79</v>
      </c>
      <c r="G17" s="20">
        <v>0.21</v>
      </c>
      <c r="H17" s="21">
        <v>107711957806</v>
      </c>
      <c r="I17" s="22">
        <f t="shared" si="11"/>
        <v>0.63786628616139518</v>
      </c>
      <c r="J17" s="23">
        <v>61150953031</v>
      </c>
      <c r="K17" s="24">
        <f t="shared" si="12"/>
        <v>0.36213371383860482</v>
      </c>
      <c r="L17" s="26">
        <f t="shared" si="13"/>
        <v>168862910837</v>
      </c>
      <c r="M17" s="27" t="s">
        <v>78</v>
      </c>
      <c r="N17" s="26">
        <v>501846</v>
      </c>
      <c r="O17" s="28">
        <v>476915</v>
      </c>
      <c r="P17" s="29" t="s">
        <v>79</v>
      </c>
      <c r="Q17" s="18">
        <v>4749579888656</v>
      </c>
      <c r="R17" s="18">
        <v>2856</v>
      </c>
      <c r="S17" s="18">
        <v>447794</v>
      </c>
      <c r="T17" s="30">
        <f t="shared" si="3"/>
        <v>6.3779327101301042E-3</v>
      </c>
      <c r="U17" s="68">
        <v>645</v>
      </c>
      <c r="V17" s="51" t="s">
        <v>124</v>
      </c>
      <c r="W17" s="51" t="s">
        <v>125</v>
      </c>
      <c r="X17" s="51">
        <v>673</v>
      </c>
      <c r="Y17" s="32">
        <v>12087271</v>
      </c>
      <c r="Z17" s="51" t="s">
        <v>126</v>
      </c>
      <c r="AA17" s="31">
        <f t="shared" si="14"/>
        <v>0.51062215477996964</v>
      </c>
      <c r="AB17" s="33" t="s">
        <v>127</v>
      </c>
      <c r="AC17" s="26">
        <v>357</v>
      </c>
      <c r="AD17" s="29">
        <v>2025</v>
      </c>
      <c r="AE17" s="34">
        <v>556754</v>
      </c>
      <c r="AF17" s="34" t="s">
        <v>82</v>
      </c>
      <c r="AG17" s="35">
        <v>2020</v>
      </c>
      <c r="AH17" s="36">
        <v>64.180000000000007</v>
      </c>
      <c r="AI17" s="37">
        <v>14172.92</v>
      </c>
      <c r="AJ17" s="16" t="s">
        <v>83</v>
      </c>
      <c r="AK17" s="16" t="s">
        <v>84</v>
      </c>
      <c r="AL17" s="38" t="s">
        <v>83</v>
      </c>
      <c r="AM17" s="39">
        <v>0</v>
      </c>
      <c r="AN17" s="62" t="s">
        <v>97</v>
      </c>
      <c r="AO17" s="69">
        <v>2</v>
      </c>
      <c r="AP17" s="69">
        <v>1</v>
      </c>
      <c r="AQ17" s="40">
        <f t="shared" si="21"/>
        <v>0.5</v>
      </c>
      <c r="AR17" s="41">
        <f t="shared" si="15"/>
        <v>0.5</v>
      </c>
      <c r="AS17" s="42">
        <v>306733</v>
      </c>
      <c r="AT17" s="44">
        <f t="shared" si="16"/>
        <v>68.399093759337802</v>
      </c>
      <c r="AU17" s="42">
        <v>141713</v>
      </c>
      <c r="AV17" s="44">
        <f t="shared" si="17"/>
        <v>31.600906240662198</v>
      </c>
      <c r="AW17" s="65">
        <v>547431</v>
      </c>
      <c r="AX17" s="42">
        <f t="shared" si="18"/>
        <v>448446</v>
      </c>
      <c r="AY17" s="46">
        <f t="shared" si="19"/>
        <v>0.18081730848271288</v>
      </c>
      <c r="AZ17" s="35" t="s">
        <v>86</v>
      </c>
      <c r="BA17" s="55">
        <v>19759</v>
      </c>
      <c r="BB17" s="19">
        <f>54116302/10000</f>
        <v>5411.6301999999996</v>
      </c>
    </row>
    <row r="18" spans="1:54" ht="15.75" customHeight="1" x14ac:dyDescent="0.35">
      <c r="A18" s="16">
        <v>16</v>
      </c>
      <c r="B18" s="17" t="s">
        <v>128</v>
      </c>
      <c r="C18" s="18">
        <v>187570</v>
      </c>
      <c r="D18" s="18">
        <v>102664</v>
      </c>
      <c r="E18" s="19">
        <v>84906</v>
      </c>
      <c r="F18" s="20">
        <v>0.55000000000000004</v>
      </c>
      <c r="G18" s="20">
        <v>0.45</v>
      </c>
      <c r="H18" s="21">
        <v>94822529646</v>
      </c>
      <c r="I18" s="22">
        <f t="shared" si="11"/>
        <v>0.60928858301720157</v>
      </c>
      <c r="J18" s="23">
        <v>60805742882</v>
      </c>
      <c r="K18" s="24">
        <f t="shared" si="12"/>
        <v>0.39071141698279843</v>
      </c>
      <c r="L18" s="26">
        <f t="shared" si="13"/>
        <v>155628272528</v>
      </c>
      <c r="M18" s="27" t="s">
        <v>78</v>
      </c>
      <c r="N18" s="26">
        <v>646111</v>
      </c>
      <c r="O18" s="28">
        <v>965514</v>
      </c>
      <c r="P18" s="29" t="s">
        <v>81</v>
      </c>
      <c r="Q18" s="18">
        <v>3249749199375</v>
      </c>
      <c r="R18" s="18">
        <v>4351</v>
      </c>
      <c r="S18" s="18">
        <v>571469</v>
      </c>
      <c r="T18" s="30">
        <f t="shared" si="3"/>
        <v>7.6137113299234076E-3</v>
      </c>
      <c r="U18" s="51">
        <v>683</v>
      </c>
      <c r="V18" s="51" t="s">
        <v>129</v>
      </c>
      <c r="W18" s="32">
        <v>1084286732797</v>
      </c>
      <c r="X18" s="51">
        <v>984</v>
      </c>
      <c r="Y18" s="32">
        <v>4142576</v>
      </c>
      <c r="Z18" s="51" t="s">
        <v>130</v>
      </c>
      <c r="AA18" s="31">
        <f t="shared" si="14"/>
        <v>0.59028194361127773</v>
      </c>
      <c r="AB18" s="33" t="s">
        <v>131</v>
      </c>
      <c r="AC18" s="26">
        <v>6902</v>
      </c>
      <c r="AD18" s="29">
        <v>2025</v>
      </c>
      <c r="AE18" s="34">
        <v>514033</v>
      </c>
      <c r="AF18" s="34" t="s">
        <v>109</v>
      </c>
      <c r="AG18" s="35">
        <v>2024</v>
      </c>
      <c r="AH18" s="36">
        <v>162.11000000000001</v>
      </c>
      <c r="AI18" s="37">
        <v>76180.94</v>
      </c>
      <c r="AJ18" s="16" t="s">
        <v>83</v>
      </c>
      <c r="AK18" s="16" t="s">
        <v>84</v>
      </c>
      <c r="AL18" s="38" t="s">
        <v>84</v>
      </c>
      <c r="AM18" s="39">
        <v>0</v>
      </c>
      <c r="AN18" s="62" t="s">
        <v>97</v>
      </c>
      <c r="AO18" s="43">
        <v>1</v>
      </c>
      <c r="AP18" s="43">
        <v>1</v>
      </c>
      <c r="AQ18" s="40">
        <f t="shared" si="21"/>
        <v>1</v>
      </c>
      <c r="AR18" s="41">
        <f t="shared" si="15"/>
        <v>0</v>
      </c>
      <c r="AS18" s="42">
        <v>372710</v>
      </c>
      <c r="AT18" s="44">
        <f t="shared" si="16"/>
        <v>65.079561864085662</v>
      </c>
      <c r="AU18" s="42">
        <v>199989</v>
      </c>
      <c r="AV18" s="44">
        <f t="shared" si="17"/>
        <v>34.920438135914331</v>
      </c>
      <c r="AW18" s="65">
        <v>957577</v>
      </c>
      <c r="AX18" s="42">
        <f t="shared" si="18"/>
        <v>572699</v>
      </c>
      <c r="AY18" s="46">
        <f t="shared" si="19"/>
        <v>0.40192903547182107</v>
      </c>
      <c r="AZ18" s="35" t="s">
        <v>86</v>
      </c>
      <c r="BA18" s="55">
        <v>42568</v>
      </c>
      <c r="BB18" s="19">
        <f>151581991/10000</f>
        <v>15158.1991</v>
      </c>
    </row>
    <row r="19" spans="1:54" ht="15.75" customHeight="1" x14ac:dyDescent="0.35">
      <c r="A19" s="16">
        <v>17</v>
      </c>
      <c r="B19" s="17" t="s">
        <v>132</v>
      </c>
      <c r="C19" s="18">
        <v>304895</v>
      </c>
      <c r="D19" s="18">
        <v>134939</v>
      </c>
      <c r="E19" s="19">
        <v>169955</v>
      </c>
      <c r="F19" s="20">
        <v>0.44</v>
      </c>
      <c r="G19" s="20">
        <v>0.56000000000000005</v>
      </c>
      <c r="H19" s="21">
        <v>80958046878</v>
      </c>
      <c r="I19" s="22">
        <f t="shared" si="11"/>
        <v>0.64707155867619048</v>
      </c>
      <c r="J19" s="23">
        <v>44156472208</v>
      </c>
      <c r="K19" s="24">
        <f t="shared" si="12"/>
        <v>0.35292844132380952</v>
      </c>
      <c r="L19" s="26">
        <f t="shared" si="13"/>
        <v>125114519086</v>
      </c>
      <c r="M19" s="27" t="s">
        <v>93</v>
      </c>
      <c r="N19" s="26">
        <v>860589</v>
      </c>
      <c r="O19" s="28">
        <v>1307159</v>
      </c>
      <c r="P19" s="29" t="s">
        <v>81</v>
      </c>
      <c r="Q19" s="18">
        <v>1591505068917</v>
      </c>
      <c r="R19" s="18">
        <v>3328</v>
      </c>
      <c r="S19" s="18">
        <v>654859</v>
      </c>
      <c r="T19" s="30">
        <f t="shared" si="3"/>
        <v>5.0820100204776904E-3</v>
      </c>
      <c r="U19" s="51">
        <v>825</v>
      </c>
      <c r="V19" s="32">
        <v>7341502</v>
      </c>
      <c r="W19" s="32">
        <v>455336059771</v>
      </c>
      <c r="X19" s="51">
        <v>1110</v>
      </c>
      <c r="Y19" s="32">
        <v>10677266</v>
      </c>
      <c r="Z19" s="32">
        <v>397419181142</v>
      </c>
      <c r="AA19" s="31">
        <f t="shared" si="14"/>
        <v>0.5736434108527132</v>
      </c>
      <c r="AB19" s="33" t="s">
        <v>133</v>
      </c>
      <c r="AC19" s="26">
        <v>2002</v>
      </c>
      <c r="AD19" s="29">
        <v>2026</v>
      </c>
      <c r="AE19" s="34">
        <v>532845</v>
      </c>
      <c r="AF19" s="34" t="s">
        <v>82</v>
      </c>
      <c r="AG19" s="35">
        <v>2024</v>
      </c>
      <c r="AH19" s="35">
        <v>360</v>
      </c>
      <c r="AI19" s="25">
        <v>50657.599999999999</v>
      </c>
      <c r="AJ19" s="16" t="s">
        <v>83</v>
      </c>
      <c r="AK19" s="16" t="s">
        <v>84</v>
      </c>
      <c r="AL19" s="38" t="s">
        <v>84</v>
      </c>
      <c r="AM19" s="39">
        <v>0</v>
      </c>
      <c r="AN19" s="35" t="s">
        <v>85</v>
      </c>
      <c r="AO19" s="43">
        <v>3</v>
      </c>
      <c r="AP19" s="43">
        <v>0</v>
      </c>
      <c r="AQ19" s="40">
        <f t="shared" si="21"/>
        <v>0</v>
      </c>
      <c r="AR19" s="41">
        <f t="shared" si="15"/>
        <v>1</v>
      </c>
      <c r="AS19" s="42">
        <v>437722</v>
      </c>
      <c r="AT19" s="44">
        <f t="shared" si="16"/>
        <v>66.737614063441001</v>
      </c>
      <c r="AU19" s="42">
        <v>218163</v>
      </c>
      <c r="AV19" s="44">
        <f t="shared" si="17"/>
        <v>33.262385936558999</v>
      </c>
      <c r="AW19" s="71">
        <v>1507356</v>
      </c>
      <c r="AX19" s="42">
        <f t="shared" si="18"/>
        <v>655885</v>
      </c>
      <c r="AY19" s="46">
        <f t="shared" si="19"/>
        <v>0.56487717566387763</v>
      </c>
      <c r="AZ19" s="35" t="s">
        <v>86</v>
      </c>
      <c r="BA19" s="55">
        <v>39775</v>
      </c>
      <c r="BB19" s="19">
        <f>158209659/10000</f>
        <v>15820.965899999999</v>
      </c>
    </row>
    <row r="20" spans="1:54" ht="15.75" customHeight="1" x14ac:dyDescent="0.35">
      <c r="A20" s="16">
        <v>18</v>
      </c>
      <c r="B20" s="17" t="s">
        <v>134</v>
      </c>
      <c r="C20" s="18">
        <v>110038</v>
      </c>
      <c r="D20" s="18">
        <v>45608</v>
      </c>
      <c r="E20" s="19">
        <v>64429</v>
      </c>
      <c r="F20" s="20">
        <v>0.41</v>
      </c>
      <c r="G20" s="20">
        <v>0.59</v>
      </c>
      <c r="H20" s="21">
        <v>99413754006</v>
      </c>
      <c r="I20" s="22">
        <f t="shared" si="11"/>
        <v>0.79732892225553842</v>
      </c>
      <c r="J20" s="23">
        <v>25269737626</v>
      </c>
      <c r="K20" s="24">
        <f t="shared" si="12"/>
        <v>0.20267107774446161</v>
      </c>
      <c r="L20" s="26">
        <f t="shared" si="13"/>
        <v>124683491632</v>
      </c>
      <c r="M20" s="27" t="s">
        <v>78</v>
      </c>
      <c r="N20" s="26">
        <v>638782</v>
      </c>
      <c r="O20" s="28">
        <v>803366</v>
      </c>
      <c r="P20" s="29" t="s">
        <v>81</v>
      </c>
      <c r="Q20" s="18">
        <v>1391018904579</v>
      </c>
      <c r="R20" s="18">
        <v>2602</v>
      </c>
      <c r="S20" s="18">
        <v>512586</v>
      </c>
      <c r="T20" s="30">
        <f t="shared" si="3"/>
        <v>5.0762213560261111E-3</v>
      </c>
      <c r="U20" s="51">
        <v>598</v>
      </c>
      <c r="V20" s="32">
        <v>1549724</v>
      </c>
      <c r="W20" s="51" t="s">
        <v>135</v>
      </c>
      <c r="X20" s="51">
        <v>1971</v>
      </c>
      <c r="Y20" s="32">
        <v>47283688</v>
      </c>
      <c r="Z20" s="32">
        <v>702877077963</v>
      </c>
      <c r="AA20" s="31">
        <f t="shared" si="14"/>
        <v>0.76722460101206691</v>
      </c>
      <c r="AB20" s="33">
        <v>100</v>
      </c>
      <c r="AC20" s="26">
        <v>0</v>
      </c>
      <c r="AD20" s="29">
        <v>2024</v>
      </c>
      <c r="AE20" s="34">
        <v>824970</v>
      </c>
      <c r="AF20" s="34" t="s">
        <v>82</v>
      </c>
      <c r="AG20" s="35">
        <v>2022</v>
      </c>
      <c r="AH20" s="35">
        <v>164.69</v>
      </c>
      <c r="AI20" s="25">
        <v>22097</v>
      </c>
      <c r="AJ20" s="16" t="s">
        <v>83</v>
      </c>
      <c r="AK20" s="16" t="s">
        <v>84</v>
      </c>
      <c r="AL20" s="38" t="s">
        <v>83</v>
      </c>
      <c r="AM20" s="39">
        <v>0</v>
      </c>
      <c r="AN20" s="35" t="s">
        <v>85</v>
      </c>
      <c r="AO20" s="43">
        <v>3</v>
      </c>
      <c r="AP20" s="43">
        <v>1</v>
      </c>
      <c r="AQ20" s="40">
        <f t="shared" si="21"/>
        <v>0.33333333333333331</v>
      </c>
      <c r="AR20" s="41">
        <f t="shared" si="15"/>
        <v>0.66666666666666674</v>
      </c>
      <c r="AS20" s="42">
        <v>325906</v>
      </c>
      <c r="AT20" s="44">
        <f t="shared" si="16"/>
        <v>63.606183679722704</v>
      </c>
      <c r="AU20" s="42">
        <v>186475</v>
      </c>
      <c r="AV20" s="44">
        <f t="shared" si="17"/>
        <v>36.393816320277296</v>
      </c>
      <c r="AW20" s="71">
        <v>688905</v>
      </c>
      <c r="AX20" s="42">
        <f t="shared" si="18"/>
        <v>512381</v>
      </c>
      <c r="AY20" s="46">
        <f t="shared" si="19"/>
        <v>0.25623852345388698</v>
      </c>
      <c r="AZ20" s="35" t="s">
        <v>86</v>
      </c>
      <c r="BA20" s="55">
        <v>63812</v>
      </c>
      <c r="BB20" s="19">
        <f>96665677/10000</f>
        <v>9666.5676999999996</v>
      </c>
    </row>
    <row r="21" spans="1:54" ht="15.75" customHeight="1" x14ac:dyDescent="0.35">
      <c r="A21" s="16">
        <v>19</v>
      </c>
      <c r="B21" s="17" t="s">
        <v>136</v>
      </c>
      <c r="C21" s="18">
        <v>223549</v>
      </c>
      <c r="D21" s="18">
        <v>65514</v>
      </c>
      <c r="E21" s="19">
        <v>158035</v>
      </c>
      <c r="F21" s="20">
        <v>0.28999999999999998</v>
      </c>
      <c r="G21" s="20">
        <v>0.71</v>
      </c>
      <c r="H21" s="21">
        <v>31543485947</v>
      </c>
      <c r="I21" s="22">
        <f t="shared" si="11"/>
        <v>0.78356748373485718</v>
      </c>
      <c r="J21" s="23">
        <v>8712760773</v>
      </c>
      <c r="K21" s="24">
        <f t="shared" si="12"/>
        <v>0.21643251626514276</v>
      </c>
      <c r="L21" s="26">
        <f t="shared" si="13"/>
        <v>40256246720</v>
      </c>
      <c r="M21" s="27" t="s">
        <v>78</v>
      </c>
      <c r="N21" s="26">
        <v>1042882</v>
      </c>
      <c r="O21" s="28">
        <v>1658498</v>
      </c>
      <c r="P21" s="29" t="s">
        <v>81</v>
      </c>
      <c r="Q21" s="18">
        <v>1188477465433</v>
      </c>
      <c r="R21" s="18">
        <v>3552</v>
      </c>
      <c r="S21" s="18">
        <v>663948</v>
      </c>
      <c r="T21" s="30">
        <f t="shared" si="3"/>
        <v>5.3498165518986425E-3</v>
      </c>
      <c r="U21" s="51">
        <v>528</v>
      </c>
      <c r="V21" s="32">
        <v>3429410</v>
      </c>
      <c r="W21" s="32">
        <v>491005030305</v>
      </c>
      <c r="X21" s="51">
        <v>232</v>
      </c>
      <c r="Y21" s="32">
        <v>4634756</v>
      </c>
      <c r="Z21" s="32">
        <v>114123550761</v>
      </c>
      <c r="AA21" s="31">
        <f t="shared" si="14"/>
        <v>0.30526315789473685</v>
      </c>
      <c r="AB21" s="33" t="s">
        <v>127</v>
      </c>
      <c r="AC21" s="26">
        <v>1040</v>
      </c>
      <c r="AD21" s="29">
        <v>2026</v>
      </c>
      <c r="AE21" s="34">
        <v>245159</v>
      </c>
      <c r="AF21" s="34" t="s">
        <v>82</v>
      </c>
      <c r="AG21" s="35">
        <v>2021</v>
      </c>
      <c r="AH21" s="35">
        <v>236.23</v>
      </c>
      <c r="AI21" s="25">
        <v>42332.89</v>
      </c>
      <c r="AJ21" s="16" t="s">
        <v>83</v>
      </c>
      <c r="AK21" s="16" t="s">
        <v>84</v>
      </c>
      <c r="AL21" s="38" t="s">
        <v>83</v>
      </c>
      <c r="AM21" s="39">
        <v>0</v>
      </c>
      <c r="AN21" s="35" t="s">
        <v>85</v>
      </c>
      <c r="AO21" s="43">
        <v>11</v>
      </c>
      <c r="AP21" s="43">
        <v>2</v>
      </c>
      <c r="AQ21" s="40">
        <f t="shared" si="21"/>
        <v>0.18181818181818182</v>
      </c>
      <c r="AR21" s="41">
        <f t="shared" si="15"/>
        <v>0.81818181818181812</v>
      </c>
      <c r="AS21" s="42">
        <v>483238</v>
      </c>
      <c r="AT21" s="44">
        <f t="shared" si="16"/>
        <v>72.68671511063846</v>
      </c>
      <c r="AU21" s="42">
        <v>181585</v>
      </c>
      <c r="AV21" s="44">
        <f t="shared" si="17"/>
        <v>27.313284889361526</v>
      </c>
      <c r="AW21" s="71">
        <v>1114632</v>
      </c>
      <c r="AX21" s="42">
        <f t="shared" si="18"/>
        <v>664823</v>
      </c>
      <c r="AY21" s="46">
        <f t="shared" si="19"/>
        <v>0.40354933287398892</v>
      </c>
      <c r="AZ21" s="35" t="s">
        <v>99</v>
      </c>
      <c r="BA21" s="55">
        <v>50013</v>
      </c>
      <c r="BB21" s="19">
        <f>111236738/10000</f>
        <v>11123.6738</v>
      </c>
    </row>
    <row r="22" spans="1:54" ht="15.75" customHeight="1" x14ac:dyDescent="0.35">
      <c r="A22" s="16">
        <v>20</v>
      </c>
      <c r="B22" s="17" t="s">
        <v>137</v>
      </c>
      <c r="C22" s="18">
        <v>16656</v>
      </c>
      <c r="D22" s="18">
        <v>14037</v>
      </c>
      <c r="E22" s="19">
        <v>2619</v>
      </c>
      <c r="F22" s="20">
        <v>0.84</v>
      </c>
      <c r="G22" s="20">
        <v>0.16</v>
      </c>
      <c r="H22" s="21">
        <v>547366394992</v>
      </c>
      <c r="I22" s="22">
        <f t="shared" si="11"/>
        <v>0.49264301844577923</v>
      </c>
      <c r="J22" s="23">
        <v>563714802746</v>
      </c>
      <c r="K22" s="24">
        <f t="shared" si="12"/>
        <v>0.50735698155422082</v>
      </c>
      <c r="L22" s="26">
        <f t="shared" si="13"/>
        <v>1111081197738</v>
      </c>
      <c r="M22" s="27" t="s">
        <v>93</v>
      </c>
      <c r="N22" s="26">
        <v>542982</v>
      </c>
      <c r="O22" s="28">
        <v>479048</v>
      </c>
      <c r="P22" s="29" t="s">
        <v>79</v>
      </c>
      <c r="Q22" s="18">
        <v>16921168221619</v>
      </c>
      <c r="R22" s="18">
        <v>6506</v>
      </c>
      <c r="S22" s="18">
        <v>505904</v>
      </c>
      <c r="T22" s="30">
        <f t="shared" si="3"/>
        <v>1.286014737974003E-2</v>
      </c>
      <c r="U22" s="51">
        <v>12897</v>
      </c>
      <c r="V22" s="51" t="s">
        <v>138</v>
      </c>
      <c r="W22" s="51" t="s">
        <v>98</v>
      </c>
      <c r="X22" s="32">
        <v>7392</v>
      </c>
      <c r="Y22" s="51" t="s">
        <v>139</v>
      </c>
      <c r="Z22" s="51" t="s">
        <v>98</v>
      </c>
      <c r="AA22" s="31">
        <f t="shared" si="14"/>
        <v>0.36433535413278129</v>
      </c>
      <c r="AB22" s="33" t="s">
        <v>140</v>
      </c>
      <c r="AC22" s="26">
        <v>77</v>
      </c>
      <c r="AD22" s="29">
        <v>2025</v>
      </c>
      <c r="AE22" s="34">
        <v>7238223</v>
      </c>
      <c r="AF22" s="34" t="s">
        <v>109</v>
      </c>
      <c r="AG22" s="35">
        <v>2024</v>
      </c>
      <c r="AH22" s="35">
        <v>269.49</v>
      </c>
      <c r="AI22" s="25">
        <v>50.81</v>
      </c>
      <c r="AJ22" s="16" t="s">
        <v>83</v>
      </c>
      <c r="AK22" s="16" t="s">
        <v>84</v>
      </c>
      <c r="AL22" s="38" t="s">
        <v>83</v>
      </c>
      <c r="AM22" s="39">
        <v>0</v>
      </c>
      <c r="AN22" s="35" t="s">
        <v>85</v>
      </c>
      <c r="AO22" s="43">
        <v>1</v>
      </c>
      <c r="AP22" s="43">
        <v>1</v>
      </c>
      <c r="AQ22" s="40">
        <f t="shared" si="21"/>
        <v>1</v>
      </c>
      <c r="AR22" s="41">
        <f t="shared" si="15"/>
        <v>0</v>
      </c>
      <c r="AS22" s="42">
        <v>131123</v>
      </c>
      <c r="AT22" s="44">
        <f t="shared" si="16"/>
        <v>25.733097831419883</v>
      </c>
      <c r="AU22" s="42">
        <v>378427</v>
      </c>
      <c r="AV22" s="44">
        <f t="shared" si="17"/>
        <v>74.266902168580117</v>
      </c>
      <c r="AW22" s="42">
        <v>1415769</v>
      </c>
      <c r="AX22" s="42">
        <f t="shared" si="18"/>
        <v>509550</v>
      </c>
      <c r="AY22" s="46">
        <f t="shared" si="19"/>
        <v>0.64008959088664885</v>
      </c>
      <c r="AZ22" s="35" t="s">
        <v>86</v>
      </c>
      <c r="BA22" s="55">
        <v>20175</v>
      </c>
      <c r="BB22" s="19">
        <f>8510223/10000</f>
        <v>851.02229999999997</v>
      </c>
    </row>
    <row r="23" spans="1:54" ht="15.75" customHeight="1" x14ac:dyDescent="0.35">
      <c r="A23" s="16">
        <v>21</v>
      </c>
      <c r="B23" s="17" t="s">
        <v>141</v>
      </c>
      <c r="C23" s="18">
        <v>11898</v>
      </c>
      <c r="D23" s="18">
        <v>7567</v>
      </c>
      <c r="E23" s="19">
        <v>4330</v>
      </c>
      <c r="F23" s="20">
        <v>0.64</v>
      </c>
      <c r="G23" s="20">
        <v>0.36</v>
      </c>
      <c r="H23" s="21">
        <v>8017314031</v>
      </c>
      <c r="I23" s="22">
        <f t="shared" si="11"/>
        <v>0.71615611066708662</v>
      </c>
      <c r="J23" s="23">
        <v>3177611086</v>
      </c>
      <c r="K23" s="24">
        <f t="shared" si="12"/>
        <v>0.28384388933291332</v>
      </c>
      <c r="L23" s="26">
        <f t="shared" si="13"/>
        <v>11194925117</v>
      </c>
      <c r="M23" s="27" t="s">
        <v>78</v>
      </c>
      <c r="N23" s="26">
        <v>140211</v>
      </c>
      <c r="O23" s="28">
        <v>121900</v>
      </c>
      <c r="P23" s="29" t="s">
        <v>79</v>
      </c>
      <c r="Q23" s="18">
        <v>250501562287</v>
      </c>
      <c r="R23" s="18">
        <v>444</v>
      </c>
      <c r="S23" s="18">
        <v>97553</v>
      </c>
      <c r="T23" s="30">
        <f t="shared" si="3"/>
        <v>4.5513720746671038E-3</v>
      </c>
      <c r="U23" s="51">
        <v>598</v>
      </c>
      <c r="V23" s="32">
        <v>2018752.8</v>
      </c>
      <c r="W23" s="32">
        <v>165545859971.73001</v>
      </c>
      <c r="X23" s="51">
        <v>143</v>
      </c>
      <c r="Y23" s="32">
        <v>575406.16</v>
      </c>
      <c r="Z23" s="32">
        <v>43539337775.699997</v>
      </c>
      <c r="AA23" s="31">
        <f t="shared" si="14"/>
        <v>0.19298245614035087</v>
      </c>
      <c r="AB23" s="33" t="s">
        <v>142</v>
      </c>
      <c r="AC23" s="26">
        <v>283</v>
      </c>
      <c r="AD23" s="29">
        <v>2025</v>
      </c>
      <c r="AE23" s="34">
        <v>1080448</v>
      </c>
      <c r="AF23" s="34" t="s">
        <v>109</v>
      </c>
      <c r="AG23" s="35">
        <v>2021</v>
      </c>
      <c r="AH23" s="36">
        <v>184.75</v>
      </c>
      <c r="AI23" s="37">
        <v>2514.11</v>
      </c>
      <c r="AJ23" s="43" t="s">
        <v>84</v>
      </c>
      <c r="AK23" s="16" t="s">
        <v>84</v>
      </c>
      <c r="AL23" s="38" t="s">
        <v>83</v>
      </c>
      <c r="AM23" s="39">
        <v>0</v>
      </c>
      <c r="AN23" s="35" t="s">
        <v>85</v>
      </c>
      <c r="AO23" s="43">
        <v>0</v>
      </c>
      <c r="AP23" s="43">
        <v>0</v>
      </c>
      <c r="AQ23" s="40">
        <v>0</v>
      </c>
      <c r="AR23" s="41">
        <f t="shared" si="15"/>
        <v>1</v>
      </c>
      <c r="AS23" s="42">
        <v>54721</v>
      </c>
      <c r="AT23" s="44">
        <f t="shared" si="16"/>
        <v>56.078664466739767</v>
      </c>
      <c r="AU23" s="42">
        <v>42858</v>
      </c>
      <c r="AV23" s="44">
        <f t="shared" si="17"/>
        <v>43.921335533260233</v>
      </c>
      <c r="AW23" s="65">
        <v>113666</v>
      </c>
      <c r="AX23" s="42">
        <f t="shared" si="18"/>
        <v>97579</v>
      </c>
      <c r="AY23" s="46">
        <f t="shared" si="19"/>
        <v>0.14152868931782592</v>
      </c>
      <c r="AZ23" s="35" t="s">
        <v>86</v>
      </c>
      <c r="BA23" s="55">
        <v>4134</v>
      </c>
      <c r="BB23" s="19">
        <f>5525932/10000</f>
        <v>552.59320000000002</v>
      </c>
    </row>
    <row r="24" spans="1:54" ht="15.75" customHeight="1" x14ac:dyDescent="0.35">
      <c r="A24" s="16">
        <v>22</v>
      </c>
      <c r="B24" s="17" t="s">
        <v>143</v>
      </c>
      <c r="C24" s="18">
        <v>21304</v>
      </c>
      <c r="D24" s="18">
        <v>20690</v>
      </c>
      <c r="E24" s="47">
        <v>614</v>
      </c>
      <c r="F24" s="20">
        <v>0.97</v>
      </c>
      <c r="G24" s="20">
        <v>0.03</v>
      </c>
      <c r="H24" s="21">
        <v>489315078422</v>
      </c>
      <c r="I24" s="22">
        <f t="shared" si="11"/>
        <v>0.5212888673969146</v>
      </c>
      <c r="J24" s="23">
        <v>449348892795</v>
      </c>
      <c r="K24" s="24">
        <f t="shared" si="12"/>
        <v>0.4787111326030854</v>
      </c>
      <c r="L24" s="26">
        <f t="shared" si="13"/>
        <v>938663971217</v>
      </c>
      <c r="M24" s="27" t="s">
        <v>78</v>
      </c>
      <c r="N24" s="26">
        <v>685328</v>
      </c>
      <c r="O24" s="28">
        <v>724145</v>
      </c>
      <c r="P24" s="29" t="s">
        <v>81</v>
      </c>
      <c r="Q24" s="18">
        <v>11868680305496</v>
      </c>
      <c r="R24" s="18">
        <v>10561</v>
      </c>
      <c r="S24" s="18">
        <v>675030</v>
      </c>
      <c r="T24" s="30">
        <f t="shared" si="3"/>
        <v>1.5645230582344488E-2</v>
      </c>
      <c r="U24" s="51">
        <v>1556</v>
      </c>
      <c r="V24" s="51" t="s">
        <v>144</v>
      </c>
      <c r="W24" s="32">
        <v>1906873179462</v>
      </c>
      <c r="X24" s="51">
        <v>3606</v>
      </c>
      <c r="Y24" s="51" t="s">
        <v>145</v>
      </c>
      <c r="Z24" s="32">
        <v>7378907700295</v>
      </c>
      <c r="AA24" s="31">
        <f t="shared" si="14"/>
        <v>0.69856644711352189</v>
      </c>
      <c r="AB24" s="33" t="s">
        <v>146</v>
      </c>
      <c r="AC24" s="26">
        <v>914</v>
      </c>
      <c r="AD24" s="29">
        <v>2025</v>
      </c>
      <c r="AE24" s="34">
        <v>4876596</v>
      </c>
      <c r="AF24" s="34" t="s">
        <v>109</v>
      </c>
      <c r="AG24" s="35">
        <v>2021</v>
      </c>
      <c r="AH24" s="36">
        <v>365.07</v>
      </c>
      <c r="AI24" s="37">
        <v>24.14</v>
      </c>
      <c r="AJ24" s="16" t="s">
        <v>83</v>
      </c>
      <c r="AK24" s="16" t="s">
        <v>84</v>
      </c>
      <c r="AL24" s="38" t="s">
        <v>83</v>
      </c>
      <c r="AM24" s="39">
        <v>0</v>
      </c>
      <c r="AN24" s="35" t="s">
        <v>85</v>
      </c>
      <c r="AO24" s="43">
        <v>0</v>
      </c>
      <c r="AP24" s="43">
        <v>0</v>
      </c>
      <c r="AQ24" s="40">
        <v>0</v>
      </c>
      <c r="AR24" s="41">
        <f t="shared" si="15"/>
        <v>1</v>
      </c>
      <c r="AS24" s="42">
        <v>322075</v>
      </c>
      <c r="AT24" s="44">
        <f t="shared" si="16"/>
        <v>47.345450162142455</v>
      </c>
      <c r="AU24" s="42">
        <v>358191</v>
      </c>
      <c r="AV24" s="44">
        <f t="shared" si="17"/>
        <v>52.654549837857545</v>
      </c>
      <c r="AW24" s="42">
        <v>1389084</v>
      </c>
      <c r="AX24" s="42">
        <f t="shared" si="18"/>
        <v>680266</v>
      </c>
      <c r="AY24" s="46">
        <f t="shared" si="19"/>
        <v>0.5102772762482326</v>
      </c>
      <c r="AZ24" s="35" t="s">
        <v>86</v>
      </c>
      <c r="BA24" s="55">
        <v>45928</v>
      </c>
      <c r="BB24" s="19">
        <f>61554326/10000</f>
        <v>6155.4326000000001</v>
      </c>
    </row>
    <row r="25" spans="1:54" ht="15.75" customHeight="1" x14ac:dyDescent="0.35">
      <c r="A25" s="72">
        <v>23</v>
      </c>
      <c r="B25" s="73" t="s">
        <v>147</v>
      </c>
      <c r="C25" s="74">
        <v>11559</v>
      </c>
      <c r="D25" s="74">
        <v>9585</v>
      </c>
      <c r="E25" s="75">
        <v>1974</v>
      </c>
      <c r="F25" s="76">
        <v>0.83</v>
      </c>
      <c r="G25" s="76">
        <v>0.17</v>
      </c>
      <c r="H25" s="77">
        <v>232621103275</v>
      </c>
      <c r="I25" s="78">
        <f t="shared" si="11"/>
        <v>0.5035575798403793</v>
      </c>
      <c r="J25" s="79">
        <v>229334217403</v>
      </c>
      <c r="K25" s="80">
        <f t="shared" si="12"/>
        <v>0.4964424201596207</v>
      </c>
      <c r="L25" s="81">
        <f t="shared" si="13"/>
        <v>461955320678</v>
      </c>
      <c r="M25" s="82" t="s">
        <v>93</v>
      </c>
      <c r="N25" s="81">
        <v>328567</v>
      </c>
      <c r="O25" s="83">
        <v>289777</v>
      </c>
      <c r="P25" s="84" t="s">
        <v>79</v>
      </c>
      <c r="Q25" s="74">
        <v>4416663080443</v>
      </c>
      <c r="R25" s="74">
        <v>3259</v>
      </c>
      <c r="S25" s="74">
        <v>284755</v>
      </c>
      <c r="T25" s="85">
        <f t="shared" si="3"/>
        <v>1.1444926340187178E-2</v>
      </c>
      <c r="U25" s="86">
        <v>1945</v>
      </c>
      <c r="V25" s="87">
        <v>3301836</v>
      </c>
      <c r="W25" s="87">
        <v>2686565981771</v>
      </c>
      <c r="X25" s="86">
        <v>1858</v>
      </c>
      <c r="Y25" s="87">
        <v>6281112</v>
      </c>
      <c r="Z25" s="87">
        <v>3217874376933</v>
      </c>
      <c r="AA25" s="88">
        <f t="shared" si="14"/>
        <v>0.4885616618459111</v>
      </c>
      <c r="AB25" s="89" t="s">
        <v>148</v>
      </c>
      <c r="AC25" s="81">
        <v>500</v>
      </c>
      <c r="AD25" s="84">
        <v>2023</v>
      </c>
      <c r="AE25" s="90">
        <v>3066980</v>
      </c>
      <c r="AF25" s="90" t="s">
        <v>82</v>
      </c>
      <c r="AG25" s="91">
        <v>2024</v>
      </c>
      <c r="AH25" s="91">
        <v>391.95</v>
      </c>
      <c r="AI25" s="92">
        <v>33.729999999999997</v>
      </c>
      <c r="AJ25" s="72" t="s">
        <v>83</v>
      </c>
      <c r="AK25" s="72" t="s">
        <v>84</v>
      </c>
      <c r="AL25" s="93" t="s">
        <v>83</v>
      </c>
      <c r="AM25" s="94">
        <v>0</v>
      </c>
      <c r="AN25" s="91" t="s">
        <v>85</v>
      </c>
      <c r="AO25" s="95">
        <v>1</v>
      </c>
      <c r="AP25" s="95">
        <v>1</v>
      </c>
      <c r="AQ25" s="96">
        <f>AP25/AO25</f>
        <v>1</v>
      </c>
      <c r="AR25" s="97">
        <f t="shared" si="15"/>
        <v>0</v>
      </c>
      <c r="AS25" s="98">
        <v>177918</v>
      </c>
      <c r="AT25" s="99">
        <f t="shared" si="16"/>
        <v>62.413571736773974</v>
      </c>
      <c r="AU25" s="98">
        <v>107145</v>
      </c>
      <c r="AV25" s="99">
        <f t="shared" si="17"/>
        <v>37.586428263226026</v>
      </c>
      <c r="AW25" s="98">
        <v>599430</v>
      </c>
      <c r="AX25" s="98">
        <f t="shared" si="18"/>
        <v>285063</v>
      </c>
      <c r="AY25" s="100">
        <f t="shared" si="19"/>
        <v>0.52444322106000696</v>
      </c>
      <c r="AZ25" s="91" t="s">
        <v>86</v>
      </c>
      <c r="BA25" s="101">
        <v>5948</v>
      </c>
      <c r="BB25" s="75">
        <f>5262734/10000</f>
        <v>526.27340000000004</v>
      </c>
    </row>
    <row r="26" spans="1:54" ht="15.75" customHeight="1" x14ac:dyDescent="0.35">
      <c r="A26" s="16">
        <v>24</v>
      </c>
      <c r="B26" s="17" t="s">
        <v>149</v>
      </c>
      <c r="C26" s="18">
        <v>4243</v>
      </c>
      <c r="D26" s="18">
        <v>3356</v>
      </c>
      <c r="E26" s="47">
        <v>887</v>
      </c>
      <c r="F26" s="20">
        <v>0.79</v>
      </c>
      <c r="G26" s="20">
        <v>0.21</v>
      </c>
      <c r="H26" s="21">
        <v>67737087188</v>
      </c>
      <c r="I26" s="22">
        <f t="shared" si="11"/>
        <v>0.67992889529761913</v>
      </c>
      <c r="J26" s="23">
        <v>31886693558</v>
      </c>
      <c r="K26" s="24">
        <f t="shared" si="12"/>
        <v>0.32007110470238087</v>
      </c>
      <c r="L26" s="26">
        <f t="shared" si="13"/>
        <v>99623780746</v>
      </c>
      <c r="M26" s="27" t="s">
        <v>78</v>
      </c>
      <c r="N26" s="26">
        <v>141237</v>
      </c>
      <c r="O26" s="28">
        <v>16970</v>
      </c>
      <c r="P26" s="29" t="s">
        <v>79</v>
      </c>
      <c r="Q26" s="18">
        <v>1164652975844</v>
      </c>
      <c r="R26" s="18">
        <v>1475</v>
      </c>
      <c r="S26" s="18">
        <v>116887</v>
      </c>
      <c r="T26" s="30">
        <f t="shared" si="3"/>
        <v>1.2619025212384611E-2</v>
      </c>
      <c r="U26" s="51">
        <v>367</v>
      </c>
      <c r="V26" s="51" t="s">
        <v>150</v>
      </c>
      <c r="W26" s="51" t="s">
        <v>151</v>
      </c>
      <c r="X26" s="32">
        <v>124</v>
      </c>
      <c r="Y26" s="32">
        <v>611477</v>
      </c>
      <c r="Z26" s="32">
        <v>380282251620</v>
      </c>
      <c r="AA26" s="31">
        <f t="shared" si="14"/>
        <v>0.25254582484725052</v>
      </c>
      <c r="AB26" s="33">
        <v>100</v>
      </c>
      <c r="AC26" s="26">
        <v>0</v>
      </c>
      <c r="AD26" s="29">
        <v>2026</v>
      </c>
      <c r="AE26" s="34">
        <v>5102416</v>
      </c>
      <c r="AF26" s="34" t="s">
        <v>109</v>
      </c>
      <c r="AG26" s="35">
        <v>2021</v>
      </c>
      <c r="AH26" s="35">
        <v>156.47</v>
      </c>
      <c r="AI26" s="25">
        <v>25.53</v>
      </c>
      <c r="AJ26" s="16" t="s">
        <v>83</v>
      </c>
      <c r="AK26" s="16" t="s">
        <v>84</v>
      </c>
      <c r="AL26" s="38" t="s">
        <v>83</v>
      </c>
      <c r="AM26" s="39">
        <v>0</v>
      </c>
      <c r="AN26" s="35" t="s">
        <v>92</v>
      </c>
      <c r="AO26" s="43">
        <v>0</v>
      </c>
      <c r="AP26" s="43">
        <v>0</v>
      </c>
      <c r="AQ26" s="40">
        <v>0</v>
      </c>
      <c r="AR26" s="41">
        <f t="shared" si="15"/>
        <v>1</v>
      </c>
      <c r="AS26" s="42">
        <v>60194</v>
      </c>
      <c r="AT26" s="44">
        <f t="shared" si="16"/>
        <v>51.414904975443086</v>
      </c>
      <c r="AU26" s="42">
        <v>56881</v>
      </c>
      <c r="AV26" s="44">
        <f t="shared" si="17"/>
        <v>48.585095024556907</v>
      </c>
      <c r="AW26" s="42">
        <v>311830</v>
      </c>
      <c r="AX26" s="42">
        <f t="shared" si="18"/>
        <v>117075</v>
      </c>
      <c r="AY26" s="46">
        <f t="shared" si="19"/>
        <v>0.62455504601866396</v>
      </c>
      <c r="AZ26" s="35" t="s">
        <v>86</v>
      </c>
      <c r="BA26" s="55">
        <v>573</v>
      </c>
      <c r="BB26" s="19">
        <f>1234982/10000</f>
        <v>123.4982</v>
      </c>
    </row>
    <row r="27" spans="1:54" ht="15.75" customHeight="1" x14ac:dyDescent="0.35">
      <c r="A27" s="16">
        <v>25</v>
      </c>
      <c r="B27" s="17" t="s">
        <v>152</v>
      </c>
      <c r="C27" s="18">
        <v>3947</v>
      </c>
      <c r="D27" s="18">
        <v>3022</v>
      </c>
      <c r="E27" s="47">
        <v>925</v>
      </c>
      <c r="F27" s="20">
        <v>0.77</v>
      </c>
      <c r="G27" s="20">
        <v>0.23</v>
      </c>
      <c r="H27" s="21">
        <v>44499857094</v>
      </c>
      <c r="I27" s="22">
        <f t="shared" si="11"/>
        <v>0.58590374617140251</v>
      </c>
      <c r="J27" s="23">
        <v>31450940942</v>
      </c>
      <c r="K27" s="24">
        <f t="shared" si="12"/>
        <v>0.41409625382859749</v>
      </c>
      <c r="L27" s="26">
        <f t="shared" si="13"/>
        <v>75950798036</v>
      </c>
      <c r="M27" s="27" t="s">
        <v>93</v>
      </c>
      <c r="N27" s="26">
        <v>104601</v>
      </c>
      <c r="O27" s="28">
        <v>86788</v>
      </c>
      <c r="P27" s="29" t="s">
        <v>79</v>
      </c>
      <c r="Q27" s="18">
        <v>1119485703872</v>
      </c>
      <c r="R27" s="18">
        <v>1011</v>
      </c>
      <c r="S27" s="18">
        <v>88512</v>
      </c>
      <c r="T27" s="30">
        <f t="shared" si="3"/>
        <v>1.1422180043383948E-2</v>
      </c>
      <c r="U27" s="51">
        <v>526</v>
      </c>
      <c r="V27" s="32">
        <v>2563341</v>
      </c>
      <c r="W27" s="32">
        <v>1624007639747</v>
      </c>
      <c r="X27" s="51">
        <v>382</v>
      </c>
      <c r="Y27" s="32">
        <v>1356144</v>
      </c>
      <c r="Z27" s="32">
        <v>534796320533</v>
      </c>
      <c r="AA27" s="31">
        <f t="shared" si="14"/>
        <v>0.42070484581497797</v>
      </c>
      <c r="AB27" s="33" t="s">
        <v>100</v>
      </c>
      <c r="AC27" s="26">
        <v>75</v>
      </c>
      <c r="AD27" s="29">
        <v>2020</v>
      </c>
      <c r="AE27" s="34">
        <v>1901963</v>
      </c>
      <c r="AF27" s="34" t="s">
        <v>109</v>
      </c>
      <c r="AG27" s="35">
        <v>2021</v>
      </c>
      <c r="AH27" s="35">
        <v>148.53</v>
      </c>
      <c r="AI27" s="25">
        <v>35.950000000000003</v>
      </c>
      <c r="AJ27" s="16" t="s">
        <v>83</v>
      </c>
      <c r="AK27" s="16" t="s">
        <v>83</v>
      </c>
      <c r="AL27" s="38" t="s">
        <v>83</v>
      </c>
      <c r="AM27" s="39">
        <v>0</v>
      </c>
      <c r="AN27" s="35" t="s">
        <v>85</v>
      </c>
      <c r="AO27" s="43">
        <v>1</v>
      </c>
      <c r="AP27" s="43">
        <v>1</v>
      </c>
      <c r="AQ27" s="40">
        <f>AP27/AO27</f>
        <v>1</v>
      </c>
      <c r="AR27" s="41">
        <f t="shared" si="15"/>
        <v>0</v>
      </c>
      <c r="AS27" s="42">
        <v>30653</v>
      </c>
      <c r="AT27" s="44">
        <f t="shared" si="16"/>
        <v>34.429193997663759</v>
      </c>
      <c r="AU27" s="42">
        <v>58379</v>
      </c>
      <c r="AV27" s="44">
        <f t="shared" si="17"/>
        <v>65.570806002336241</v>
      </c>
      <c r="AW27" s="42">
        <v>185964</v>
      </c>
      <c r="AX27" s="42">
        <f t="shared" si="18"/>
        <v>89032</v>
      </c>
      <c r="AY27" s="46">
        <f t="shared" si="19"/>
        <v>0.52124067023725018</v>
      </c>
      <c r="AZ27" s="35" t="s">
        <v>86</v>
      </c>
      <c r="BA27" s="55">
        <v>2369</v>
      </c>
      <c r="BB27" s="19">
        <f>2661834/10000</f>
        <v>266.18340000000001</v>
      </c>
    </row>
    <row r="28" spans="1:54" ht="15.75" customHeight="1" x14ac:dyDescent="0.35">
      <c r="A28" s="16">
        <v>26</v>
      </c>
      <c r="B28" s="17" t="s">
        <v>153</v>
      </c>
      <c r="C28" s="18">
        <v>20051</v>
      </c>
      <c r="D28" s="18">
        <v>17881</v>
      </c>
      <c r="E28" s="19">
        <v>2169</v>
      </c>
      <c r="F28" s="20">
        <v>0.89</v>
      </c>
      <c r="G28" s="20">
        <v>0.11</v>
      </c>
      <c r="H28" s="21">
        <v>419857412994</v>
      </c>
      <c r="I28" s="22">
        <f t="shared" si="11"/>
        <v>0.48891637203230998</v>
      </c>
      <c r="J28" s="23">
        <v>438893565724</v>
      </c>
      <c r="K28" s="24">
        <f t="shared" si="12"/>
        <v>0.51108362796769002</v>
      </c>
      <c r="L28" s="26">
        <f t="shared" si="13"/>
        <v>858750978718</v>
      </c>
      <c r="M28" s="27" t="s">
        <v>93</v>
      </c>
      <c r="N28" s="26">
        <v>692494</v>
      </c>
      <c r="O28" s="28">
        <v>722271</v>
      </c>
      <c r="P28" s="29" t="s">
        <v>81</v>
      </c>
      <c r="Q28" s="18">
        <v>11719334665731</v>
      </c>
      <c r="R28" s="18">
        <v>11452</v>
      </c>
      <c r="S28" s="18">
        <v>639177</v>
      </c>
      <c r="T28" s="30">
        <f t="shared" si="3"/>
        <v>1.7916789871975994E-2</v>
      </c>
      <c r="U28" s="51">
        <v>1558</v>
      </c>
      <c r="V28" s="51" t="s">
        <v>154</v>
      </c>
      <c r="W28" s="32">
        <v>1602223177794</v>
      </c>
      <c r="X28" s="51">
        <v>9432</v>
      </c>
      <c r="Y28" s="32">
        <v>16077014</v>
      </c>
      <c r="Z28" s="32">
        <v>15215543379221</v>
      </c>
      <c r="AA28" s="31">
        <f t="shared" si="14"/>
        <v>0.85823475887170153</v>
      </c>
      <c r="AB28" s="33" t="s">
        <v>155</v>
      </c>
      <c r="AC28" s="26">
        <v>261</v>
      </c>
      <c r="AD28" s="29">
        <v>2025</v>
      </c>
      <c r="AE28" s="34">
        <v>3281922</v>
      </c>
      <c r="AF28" s="34" t="s">
        <v>82</v>
      </c>
      <c r="AG28" s="35">
        <v>2022</v>
      </c>
      <c r="AH28" s="36">
        <v>475.63</v>
      </c>
      <c r="AI28" s="37">
        <v>4.13</v>
      </c>
      <c r="AJ28" s="16" t="s">
        <v>83</v>
      </c>
      <c r="AK28" s="16" t="s">
        <v>84</v>
      </c>
      <c r="AL28" s="38" t="s">
        <v>83</v>
      </c>
      <c r="AM28" s="39">
        <v>0</v>
      </c>
      <c r="AN28" s="35" t="s">
        <v>85</v>
      </c>
      <c r="AO28" s="43">
        <v>0</v>
      </c>
      <c r="AP28" s="43">
        <v>0</v>
      </c>
      <c r="AQ28" s="40">
        <v>0</v>
      </c>
      <c r="AR28" s="41">
        <f t="shared" si="15"/>
        <v>1</v>
      </c>
      <c r="AS28" s="42">
        <v>328861</v>
      </c>
      <c r="AT28" s="44">
        <f t="shared" si="16"/>
        <v>51.227726381279801</v>
      </c>
      <c r="AU28" s="42">
        <v>313098</v>
      </c>
      <c r="AV28" s="44">
        <f t="shared" si="17"/>
        <v>48.772273618720199</v>
      </c>
      <c r="AW28" s="42">
        <v>1080241</v>
      </c>
      <c r="AX28" s="42">
        <f t="shared" si="18"/>
        <v>641959</v>
      </c>
      <c r="AY28" s="46">
        <f t="shared" si="19"/>
        <v>0.40572612963218391</v>
      </c>
      <c r="AZ28" s="35" t="s">
        <v>99</v>
      </c>
      <c r="BA28" s="55">
        <v>29695</v>
      </c>
      <c r="BB28" s="19">
        <f>28218746/10000</f>
        <v>2821.8746000000001</v>
      </c>
    </row>
    <row r="29" spans="1:54" ht="15.75" customHeight="1" x14ac:dyDescent="0.35">
      <c r="A29" s="16">
        <v>27</v>
      </c>
      <c r="B29" s="17" t="s">
        <v>156</v>
      </c>
      <c r="C29" s="18">
        <v>4861</v>
      </c>
      <c r="D29" s="18">
        <v>3664</v>
      </c>
      <c r="E29" s="19">
        <v>1196</v>
      </c>
      <c r="F29" s="20">
        <v>0.75</v>
      </c>
      <c r="G29" s="20">
        <v>0.25</v>
      </c>
      <c r="H29" s="21">
        <v>10240395569</v>
      </c>
      <c r="I29" s="22">
        <f t="shared" si="11"/>
        <v>0.38724221079056909</v>
      </c>
      <c r="J29" s="23">
        <v>16204024186</v>
      </c>
      <c r="K29" s="24">
        <f t="shared" si="12"/>
        <v>0.61275778920943091</v>
      </c>
      <c r="L29" s="26">
        <f t="shared" si="13"/>
        <v>26444419755</v>
      </c>
      <c r="M29" s="27" t="s">
        <v>93</v>
      </c>
      <c r="N29" s="26">
        <v>115772</v>
      </c>
      <c r="O29" s="28">
        <v>111924</v>
      </c>
      <c r="P29" s="29" t="s">
        <v>79</v>
      </c>
      <c r="Q29" s="18">
        <v>570624054929</v>
      </c>
      <c r="R29" s="18">
        <v>1004</v>
      </c>
      <c r="S29" s="18">
        <v>107497</v>
      </c>
      <c r="T29" s="30">
        <f t="shared" si="3"/>
        <v>9.3397955291775591E-3</v>
      </c>
      <c r="U29" s="51">
        <v>734</v>
      </c>
      <c r="V29" s="51" t="s">
        <v>157</v>
      </c>
      <c r="W29" s="32" t="s">
        <v>158</v>
      </c>
      <c r="X29" s="51">
        <v>378</v>
      </c>
      <c r="Y29" s="51" t="s">
        <v>159</v>
      </c>
      <c r="Z29" s="51" t="s">
        <v>160</v>
      </c>
      <c r="AA29" s="31">
        <f t="shared" si="14"/>
        <v>0.33992805755395683</v>
      </c>
      <c r="AB29" s="33" t="s">
        <v>161</v>
      </c>
      <c r="AC29" s="26">
        <v>24</v>
      </c>
      <c r="AD29" s="29">
        <v>2023</v>
      </c>
      <c r="AE29" s="34">
        <v>1318382</v>
      </c>
      <c r="AF29" s="34" t="s">
        <v>82</v>
      </c>
      <c r="AG29" s="35">
        <v>2021</v>
      </c>
      <c r="AH29" s="35">
        <v>260.52999999999997</v>
      </c>
      <c r="AI29" s="25">
        <v>699.78</v>
      </c>
      <c r="AJ29" s="43" t="s">
        <v>84</v>
      </c>
      <c r="AK29" s="16" t="s">
        <v>84</v>
      </c>
      <c r="AL29" s="38" t="s">
        <v>84</v>
      </c>
      <c r="AM29" s="39">
        <v>0</v>
      </c>
      <c r="AN29" s="35" t="s">
        <v>85</v>
      </c>
      <c r="AO29" s="43">
        <v>1</v>
      </c>
      <c r="AP29" s="43">
        <v>0</v>
      </c>
      <c r="AQ29" s="40">
        <f t="shared" ref="AQ29:AQ30" si="22">AP29/AO29</f>
        <v>0</v>
      </c>
      <c r="AR29" s="41">
        <f t="shared" si="15"/>
        <v>1</v>
      </c>
      <c r="AS29" s="42">
        <v>65500</v>
      </c>
      <c r="AT29" s="44">
        <f t="shared" si="16"/>
        <v>60.874171693045476</v>
      </c>
      <c r="AU29" s="42">
        <v>42099</v>
      </c>
      <c r="AV29" s="44">
        <f t="shared" si="17"/>
        <v>39.125828306954524</v>
      </c>
      <c r="AW29" s="42">
        <v>192608</v>
      </c>
      <c r="AX29" s="42">
        <f t="shared" si="18"/>
        <v>107599</v>
      </c>
      <c r="AY29" s="46">
        <f t="shared" si="19"/>
        <v>0.44135757600930386</v>
      </c>
      <c r="AZ29" s="35" t="s">
        <v>86</v>
      </c>
      <c r="BA29" s="55">
        <v>1849</v>
      </c>
      <c r="BB29" s="19">
        <f>1067367/10000</f>
        <v>106.7367</v>
      </c>
    </row>
    <row r="30" spans="1:54" ht="15.75" customHeight="1" x14ac:dyDescent="0.35">
      <c r="A30" s="16">
        <v>28</v>
      </c>
      <c r="B30" s="17" t="s">
        <v>162</v>
      </c>
      <c r="C30" s="18">
        <v>17913</v>
      </c>
      <c r="D30" s="18">
        <v>11282</v>
      </c>
      <c r="E30" s="19">
        <v>6632</v>
      </c>
      <c r="F30" s="20">
        <v>0.63</v>
      </c>
      <c r="G30" s="20">
        <v>0.37</v>
      </c>
      <c r="H30" s="21">
        <v>31344247206</v>
      </c>
      <c r="I30" s="22">
        <f t="shared" si="11"/>
        <v>0.4701531906361841</v>
      </c>
      <c r="J30" s="23">
        <v>35323910812</v>
      </c>
      <c r="K30" s="24">
        <f t="shared" si="12"/>
        <v>0.5298468093638159</v>
      </c>
      <c r="L30" s="26">
        <f t="shared" si="13"/>
        <v>66668158018</v>
      </c>
      <c r="M30" s="27" t="s">
        <v>78</v>
      </c>
      <c r="N30" s="26">
        <v>398980</v>
      </c>
      <c r="O30" s="28">
        <v>342162</v>
      </c>
      <c r="P30" s="29" t="s">
        <v>79</v>
      </c>
      <c r="Q30" s="18">
        <v>1720172320954</v>
      </c>
      <c r="R30" s="18">
        <v>2807</v>
      </c>
      <c r="S30" s="18">
        <v>278924</v>
      </c>
      <c r="T30" s="30">
        <f t="shared" si="3"/>
        <v>1.0063673258665444E-2</v>
      </c>
      <c r="U30" s="51">
        <v>1036</v>
      </c>
      <c r="V30" s="32">
        <v>2216607</v>
      </c>
      <c r="W30" s="32">
        <v>575058106054.59998</v>
      </c>
      <c r="X30" s="32">
        <v>2243</v>
      </c>
      <c r="Y30" s="32">
        <v>7268455</v>
      </c>
      <c r="Z30" s="32">
        <v>954576812400</v>
      </c>
      <c r="AA30" s="31">
        <f t="shared" si="14"/>
        <v>0.68405001524855136</v>
      </c>
      <c r="AB30" s="33" t="s">
        <v>163</v>
      </c>
      <c r="AC30" s="26">
        <v>76</v>
      </c>
      <c r="AD30" s="29">
        <v>2026</v>
      </c>
      <c r="AE30" s="26">
        <v>1383365</v>
      </c>
      <c r="AF30" s="34" t="s">
        <v>82</v>
      </c>
      <c r="AG30" s="35">
        <v>2024</v>
      </c>
      <c r="AH30" s="35">
        <v>125.31</v>
      </c>
      <c r="AI30" s="25">
        <v>3958.21</v>
      </c>
      <c r="AJ30" s="16" t="s">
        <v>83</v>
      </c>
      <c r="AK30" s="16" t="s">
        <v>84</v>
      </c>
      <c r="AL30" s="38" t="s">
        <v>83</v>
      </c>
      <c r="AM30" s="39">
        <v>0</v>
      </c>
      <c r="AN30" s="35" t="s">
        <v>85</v>
      </c>
      <c r="AO30" s="43">
        <v>1</v>
      </c>
      <c r="AP30" s="43">
        <v>0</v>
      </c>
      <c r="AQ30" s="40">
        <f t="shared" si="22"/>
        <v>0</v>
      </c>
      <c r="AR30" s="41">
        <f t="shared" si="15"/>
        <v>1</v>
      </c>
      <c r="AS30" s="42">
        <v>184411</v>
      </c>
      <c r="AT30" s="44">
        <f t="shared" si="16"/>
        <v>65.691446728625721</v>
      </c>
      <c r="AU30" s="42">
        <v>96312</v>
      </c>
      <c r="AV30" s="44">
        <f t="shared" si="17"/>
        <v>34.308553271374272</v>
      </c>
      <c r="AW30" s="42">
        <v>404236</v>
      </c>
      <c r="AX30" s="42">
        <f t="shared" si="18"/>
        <v>280723</v>
      </c>
      <c r="AY30" s="46">
        <f t="shared" si="19"/>
        <v>0.30554675981357426</v>
      </c>
      <c r="AZ30" s="35" t="s">
        <v>86</v>
      </c>
      <c r="BA30" s="55">
        <v>14258</v>
      </c>
      <c r="BB30" s="19">
        <f>12184646/10000</f>
        <v>1218.4646</v>
      </c>
    </row>
    <row r="31" spans="1:54" ht="15.75" customHeight="1" x14ac:dyDescent="0.35">
      <c r="A31" s="66"/>
      <c r="B31" s="67"/>
      <c r="M31" s="70"/>
    </row>
    <row r="32" spans="1:54" ht="15.75" customHeight="1" x14ac:dyDescent="0.35">
      <c r="A32" s="66"/>
      <c r="B32" s="67"/>
      <c r="M32" s="70"/>
    </row>
    <row r="33" spans="1:13" ht="15.75" customHeight="1" x14ac:dyDescent="0.35">
      <c r="A33" s="66"/>
      <c r="B33" s="67"/>
      <c r="M33" s="70"/>
    </row>
    <row r="34" spans="1:13" ht="15.75" customHeight="1" x14ac:dyDescent="0.35">
      <c r="A34" s="66"/>
      <c r="B34" s="67"/>
      <c r="M34" s="70"/>
    </row>
    <row r="35" spans="1:13" ht="15.75" customHeight="1" x14ac:dyDescent="0.35">
      <c r="A35" s="66"/>
      <c r="B35" s="67"/>
      <c r="M35" s="70"/>
    </row>
    <row r="36" spans="1:13" ht="15.75" customHeight="1" x14ac:dyDescent="0.35">
      <c r="A36" s="66"/>
      <c r="B36" s="67"/>
      <c r="M36" s="70"/>
    </row>
    <row r="37" spans="1:13" ht="15.75" customHeight="1" x14ac:dyDescent="0.35">
      <c r="A37" s="66"/>
      <c r="B37" s="67"/>
      <c r="M37" s="70"/>
    </row>
    <row r="38" spans="1:13" ht="15.75" customHeight="1" x14ac:dyDescent="0.35">
      <c r="A38" s="66"/>
      <c r="B38" s="67"/>
      <c r="M38" s="70"/>
    </row>
    <row r="39" spans="1:13" ht="15.75" customHeight="1" x14ac:dyDescent="0.35">
      <c r="A39" s="66"/>
      <c r="B39" s="67"/>
      <c r="M39" s="70"/>
    </row>
    <row r="40" spans="1:13" ht="15.75" customHeight="1" x14ac:dyDescent="0.35">
      <c r="A40" s="66"/>
      <c r="B40" s="67"/>
      <c r="M40" s="70"/>
    </row>
    <row r="41" spans="1:13" ht="15.75" customHeight="1" x14ac:dyDescent="0.35">
      <c r="A41" s="66"/>
      <c r="B41" s="67"/>
      <c r="M41" s="70"/>
    </row>
    <row r="42" spans="1:13" ht="15.75" customHeight="1" x14ac:dyDescent="0.35">
      <c r="A42" s="66"/>
      <c r="B42" s="67"/>
      <c r="M42" s="70"/>
    </row>
    <row r="43" spans="1:13" ht="15.75" customHeight="1" x14ac:dyDescent="0.35">
      <c r="A43" s="66"/>
      <c r="B43" s="67"/>
      <c r="M43" s="70"/>
    </row>
    <row r="44" spans="1:13" ht="15.75" customHeight="1" x14ac:dyDescent="0.35">
      <c r="A44" s="66"/>
      <c r="B44" s="67"/>
      <c r="M44" s="70"/>
    </row>
    <row r="45" spans="1:13" ht="15.75" customHeight="1" x14ac:dyDescent="0.35">
      <c r="A45" s="66"/>
      <c r="B45" s="67"/>
      <c r="M45" s="70"/>
    </row>
    <row r="46" spans="1:13" ht="15.75" customHeight="1" x14ac:dyDescent="0.35">
      <c r="A46" s="66"/>
      <c r="B46" s="67"/>
      <c r="M46" s="70"/>
    </row>
    <row r="47" spans="1:13" ht="15.75" customHeight="1" x14ac:dyDescent="0.35">
      <c r="A47" s="66"/>
      <c r="B47" s="67"/>
      <c r="M47" s="70"/>
    </row>
    <row r="48" spans="1:13" ht="15.75" customHeight="1" x14ac:dyDescent="0.35">
      <c r="A48" s="66"/>
      <c r="B48" s="67"/>
      <c r="M48" s="70"/>
    </row>
    <row r="49" spans="1:13" ht="15.75" customHeight="1" x14ac:dyDescent="0.35">
      <c r="A49" s="66"/>
      <c r="B49" s="67"/>
      <c r="M49" s="70"/>
    </row>
    <row r="50" spans="1:13" ht="15.75" customHeight="1" x14ac:dyDescent="0.35">
      <c r="A50" s="66"/>
      <c r="B50" s="67"/>
      <c r="M50" s="70"/>
    </row>
    <row r="51" spans="1:13" ht="15.75" customHeight="1" x14ac:dyDescent="0.35">
      <c r="A51" s="66"/>
      <c r="B51" s="67"/>
      <c r="M51" s="70"/>
    </row>
    <row r="52" spans="1:13" ht="15.75" customHeight="1" x14ac:dyDescent="0.35">
      <c r="A52" s="66"/>
      <c r="B52" s="67"/>
      <c r="M52" s="70"/>
    </row>
    <row r="53" spans="1:13" ht="15.75" customHeight="1" x14ac:dyDescent="0.35">
      <c r="A53" s="66"/>
      <c r="B53" s="67"/>
      <c r="M53" s="70"/>
    </row>
    <row r="54" spans="1:13" ht="15.75" customHeight="1" x14ac:dyDescent="0.35">
      <c r="A54" s="66"/>
      <c r="B54" s="67"/>
      <c r="M54" s="70"/>
    </row>
    <row r="55" spans="1:13" ht="15.75" customHeight="1" x14ac:dyDescent="0.35">
      <c r="A55" s="66"/>
      <c r="B55" s="67"/>
      <c r="M55" s="70"/>
    </row>
    <row r="56" spans="1:13" ht="15.75" customHeight="1" x14ac:dyDescent="0.35">
      <c r="A56" s="66"/>
      <c r="B56" s="67"/>
      <c r="M56" s="70"/>
    </row>
    <row r="57" spans="1:13" ht="15.75" customHeight="1" x14ac:dyDescent="0.35">
      <c r="A57" s="66"/>
      <c r="B57" s="67"/>
      <c r="M57" s="70"/>
    </row>
    <row r="58" spans="1:13" ht="15.75" customHeight="1" x14ac:dyDescent="0.35">
      <c r="A58" s="66"/>
      <c r="B58" s="67"/>
      <c r="M58" s="70"/>
    </row>
    <row r="59" spans="1:13" ht="15.75" customHeight="1" x14ac:dyDescent="0.35">
      <c r="A59" s="66"/>
      <c r="B59" s="67"/>
      <c r="M59" s="70"/>
    </row>
    <row r="60" spans="1:13" ht="15.75" customHeight="1" x14ac:dyDescent="0.35">
      <c r="A60" s="66"/>
      <c r="B60" s="67"/>
      <c r="M60" s="70"/>
    </row>
    <row r="61" spans="1:13" ht="15.75" customHeight="1" x14ac:dyDescent="0.35">
      <c r="A61" s="66"/>
      <c r="B61" s="67"/>
      <c r="M61" s="70"/>
    </row>
    <row r="62" spans="1:13" ht="15.75" customHeight="1" x14ac:dyDescent="0.35">
      <c r="A62" s="66"/>
      <c r="B62" s="67"/>
      <c r="M62" s="70"/>
    </row>
    <row r="63" spans="1:13" ht="15.75" customHeight="1" x14ac:dyDescent="0.35">
      <c r="A63" s="66"/>
      <c r="B63" s="67"/>
      <c r="M63" s="70"/>
    </row>
    <row r="64" spans="1:13" ht="15.75" customHeight="1" x14ac:dyDescent="0.35">
      <c r="A64" s="66"/>
      <c r="B64" s="67"/>
      <c r="M64" s="70"/>
    </row>
    <row r="65" spans="1:13" ht="15.75" customHeight="1" x14ac:dyDescent="0.35">
      <c r="A65" s="66"/>
      <c r="B65" s="67"/>
      <c r="M65" s="70"/>
    </row>
    <row r="66" spans="1:13" ht="15.75" customHeight="1" x14ac:dyDescent="0.35">
      <c r="A66" s="66"/>
      <c r="B66" s="67"/>
      <c r="M66" s="70"/>
    </row>
    <row r="67" spans="1:13" ht="15.75" customHeight="1" x14ac:dyDescent="0.35">
      <c r="A67" s="66"/>
      <c r="B67" s="67"/>
      <c r="M67" s="70"/>
    </row>
    <row r="68" spans="1:13" ht="15.75" customHeight="1" x14ac:dyDescent="0.35">
      <c r="A68" s="66"/>
      <c r="B68" s="67"/>
      <c r="M68" s="70"/>
    </row>
    <row r="69" spans="1:13" ht="15.75" customHeight="1" x14ac:dyDescent="0.35">
      <c r="A69" s="66"/>
      <c r="B69" s="67"/>
      <c r="M69" s="70"/>
    </row>
    <row r="70" spans="1:13" ht="15.75" customHeight="1" x14ac:dyDescent="0.35">
      <c r="A70" s="66"/>
      <c r="B70" s="67"/>
      <c r="M70" s="70"/>
    </row>
    <row r="71" spans="1:13" ht="15.75" customHeight="1" x14ac:dyDescent="0.35">
      <c r="A71" s="66"/>
      <c r="B71" s="67"/>
      <c r="M71" s="70"/>
    </row>
    <row r="72" spans="1:13" ht="15.75" customHeight="1" x14ac:dyDescent="0.35">
      <c r="A72" s="66"/>
      <c r="B72" s="67"/>
      <c r="M72" s="70"/>
    </row>
    <row r="73" spans="1:13" ht="15.75" customHeight="1" x14ac:dyDescent="0.35">
      <c r="A73" s="66"/>
      <c r="B73" s="67"/>
      <c r="M73" s="70"/>
    </row>
    <row r="74" spans="1:13" ht="15.75" customHeight="1" x14ac:dyDescent="0.35">
      <c r="A74" s="66"/>
      <c r="B74" s="67"/>
      <c r="M74" s="70"/>
    </row>
    <row r="75" spans="1:13" ht="15.75" customHeight="1" x14ac:dyDescent="0.35">
      <c r="A75" s="66"/>
      <c r="B75" s="67"/>
      <c r="M75" s="70"/>
    </row>
    <row r="76" spans="1:13" ht="15.75" customHeight="1" x14ac:dyDescent="0.35">
      <c r="A76" s="66"/>
      <c r="B76" s="67"/>
      <c r="M76" s="70"/>
    </row>
    <row r="77" spans="1:13" ht="15.75" customHeight="1" x14ac:dyDescent="0.35">
      <c r="A77" s="66"/>
      <c r="B77" s="67"/>
      <c r="M77" s="70"/>
    </row>
    <row r="78" spans="1:13" ht="15.75" customHeight="1" x14ac:dyDescent="0.35">
      <c r="A78" s="66"/>
      <c r="B78" s="67"/>
      <c r="M78" s="70"/>
    </row>
    <row r="79" spans="1:13" ht="15.75" customHeight="1" x14ac:dyDescent="0.35">
      <c r="A79" s="66"/>
      <c r="B79" s="67"/>
      <c r="M79" s="70"/>
    </row>
    <row r="80" spans="1:13" ht="15.75" customHeight="1" x14ac:dyDescent="0.35">
      <c r="A80" s="66"/>
      <c r="B80" s="67"/>
      <c r="M80" s="70"/>
    </row>
    <row r="81" spans="1:13" ht="15.75" customHeight="1" x14ac:dyDescent="0.35">
      <c r="A81" s="66"/>
      <c r="B81" s="67"/>
      <c r="M81" s="70"/>
    </row>
    <row r="82" spans="1:13" ht="15.75" customHeight="1" x14ac:dyDescent="0.35">
      <c r="A82" s="66"/>
      <c r="B82" s="67"/>
      <c r="M82" s="70"/>
    </row>
    <row r="83" spans="1:13" ht="15.75" customHeight="1" x14ac:dyDescent="0.35">
      <c r="A83" s="66"/>
      <c r="B83" s="67"/>
      <c r="M83" s="70"/>
    </row>
    <row r="84" spans="1:13" ht="15.75" customHeight="1" x14ac:dyDescent="0.35">
      <c r="A84" s="66"/>
      <c r="B84" s="67"/>
      <c r="M84" s="70"/>
    </row>
    <row r="85" spans="1:13" ht="15.75" customHeight="1" x14ac:dyDescent="0.35">
      <c r="A85" s="66"/>
      <c r="B85" s="67"/>
      <c r="M85" s="70"/>
    </row>
    <row r="86" spans="1:13" ht="15.75" customHeight="1" x14ac:dyDescent="0.35">
      <c r="A86" s="66"/>
      <c r="B86" s="67"/>
      <c r="M86" s="70"/>
    </row>
    <row r="87" spans="1:13" ht="15.75" customHeight="1" x14ac:dyDescent="0.35">
      <c r="A87" s="66"/>
      <c r="B87" s="67"/>
      <c r="M87" s="70"/>
    </row>
    <row r="88" spans="1:13" ht="15.75" customHeight="1" x14ac:dyDescent="0.35">
      <c r="A88" s="66"/>
      <c r="B88" s="67"/>
      <c r="M88" s="70"/>
    </row>
    <row r="89" spans="1:13" ht="15.75" customHeight="1" x14ac:dyDescent="0.35">
      <c r="A89" s="66"/>
      <c r="B89" s="67"/>
      <c r="M89" s="70"/>
    </row>
    <row r="90" spans="1:13" ht="15.75" customHeight="1" x14ac:dyDescent="0.35">
      <c r="A90" s="66"/>
      <c r="B90" s="67"/>
      <c r="M90" s="70"/>
    </row>
    <row r="91" spans="1:13" ht="15.75" customHeight="1" x14ac:dyDescent="0.35">
      <c r="A91" s="66"/>
      <c r="B91" s="67"/>
      <c r="M91" s="70"/>
    </row>
    <row r="92" spans="1:13" ht="15.75" customHeight="1" x14ac:dyDescent="0.35">
      <c r="A92" s="66"/>
      <c r="B92" s="67"/>
      <c r="M92" s="70"/>
    </row>
    <row r="93" spans="1:13" ht="15.75" customHeight="1" x14ac:dyDescent="0.35">
      <c r="A93" s="66"/>
      <c r="B93" s="67"/>
      <c r="M93" s="70"/>
    </row>
    <row r="94" spans="1:13" ht="15.75" customHeight="1" x14ac:dyDescent="0.35">
      <c r="A94" s="66"/>
      <c r="B94" s="67"/>
      <c r="M94" s="70"/>
    </row>
    <row r="95" spans="1:13" ht="15.75" customHeight="1" x14ac:dyDescent="0.35">
      <c r="A95" s="66"/>
      <c r="B95" s="67"/>
      <c r="M95" s="70"/>
    </row>
    <row r="96" spans="1:13" ht="15.75" customHeight="1" x14ac:dyDescent="0.35">
      <c r="A96" s="66"/>
      <c r="B96" s="67"/>
      <c r="M96" s="70"/>
    </row>
    <row r="97" spans="1:13" ht="15.75" customHeight="1" x14ac:dyDescent="0.35">
      <c r="A97" s="66"/>
      <c r="B97" s="67"/>
      <c r="M97" s="70"/>
    </row>
    <row r="98" spans="1:13" ht="15.75" customHeight="1" x14ac:dyDescent="0.35">
      <c r="A98" s="66"/>
      <c r="B98" s="67"/>
      <c r="M98" s="70"/>
    </row>
    <row r="99" spans="1:13" ht="15.75" customHeight="1" x14ac:dyDescent="0.35">
      <c r="A99" s="66"/>
      <c r="B99" s="67"/>
      <c r="M99" s="70"/>
    </row>
    <row r="100" spans="1:13" ht="15.75" customHeight="1" x14ac:dyDescent="0.35">
      <c r="A100" s="66"/>
      <c r="B100" s="67"/>
      <c r="M100" s="70"/>
    </row>
    <row r="101" spans="1:13" ht="15.75" customHeight="1" x14ac:dyDescent="0.35">
      <c r="A101" s="66"/>
      <c r="B101" s="67"/>
      <c r="M101" s="70"/>
    </row>
    <row r="102" spans="1:13" ht="15.75" customHeight="1" x14ac:dyDescent="0.35">
      <c r="A102" s="66"/>
      <c r="B102" s="67"/>
      <c r="M102" s="70"/>
    </row>
    <row r="103" spans="1:13" ht="15.75" customHeight="1" x14ac:dyDescent="0.35">
      <c r="A103" s="66"/>
      <c r="B103" s="67"/>
      <c r="M103" s="70"/>
    </row>
    <row r="104" spans="1:13" ht="15.75" customHeight="1" x14ac:dyDescent="0.35">
      <c r="A104" s="66"/>
      <c r="B104" s="67"/>
      <c r="M104" s="70"/>
    </row>
    <row r="105" spans="1:13" ht="15.75" customHeight="1" x14ac:dyDescent="0.35">
      <c r="A105" s="66"/>
      <c r="B105" s="67"/>
      <c r="M105" s="70"/>
    </row>
    <row r="106" spans="1:13" ht="15.75" customHeight="1" x14ac:dyDescent="0.35">
      <c r="A106" s="66"/>
      <c r="B106" s="67"/>
      <c r="M106" s="70"/>
    </row>
    <row r="107" spans="1:13" ht="15.75" customHeight="1" x14ac:dyDescent="0.35">
      <c r="A107" s="66"/>
      <c r="B107" s="67"/>
      <c r="M107" s="70"/>
    </row>
    <row r="108" spans="1:13" ht="15.75" customHeight="1" x14ac:dyDescent="0.35">
      <c r="A108" s="66"/>
      <c r="B108" s="67"/>
      <c r="M108" s="70"/>
    </row>
    <row r="109" spans="1:13" ht="15.75" customHeight="1" x14ac:dyDescent="0.35">
      <c r="A109" s="66"/>
      <c r="B109" s="67"/>
      <c r="M109" s="70"/>
    </row>
    <row r="110" spans="1:13" ht="15.75" customHeight="1" x14ac:dyDescent="0.35">
      <c r="A110" s="66"/>
      <c r="B110" s="67"/>
      <c r="M110" s="70"/>
    </row>
    <row r="111" spans="1:13" ht="15.75" customHeight="1" x14ac:dyDescent="0.35">
      <c r="A111" s="66"/>
      <c r="B111" s="67"/>
      <c r="M111" s="70"/>
    </row>
    <row r="112" spans="1:13" ht="15.75" customHeight="1" x14ac:dyDescent="0.35">
      <c r="A112" s="66"/>
      <c r="B112" s="67"/>
      <c r="M112" s="70"/>
    </row>
    <row r="113" spans="1:13" ht="15.75" customHeight="1" x14ac:dyDescent="0.35">
      <c r="A113" s="66"/>
      <c r="B113" s="67"/>
      <c r="M113" s="70"/>
    </row>
    <row r="114" spans="1:13" ht="15.75" customHeight="1" x14ac:dyDescent="0.35">
      <c r="A114" s="66"/>
      <c r="B114" s="67"/>
      <c r="M114" s="70"/>
    </row>
    <row r="115" spans="1:13" ht="15.75" customHeight="1" x14ac:dyDescent="0.35">
      <c r="A115" s="66"/>
      <c r="B115" s="67"/>
      <c r="M115" s="70"/>
    </row>
    <row r="116" spans="1:13" ht="15.75" customHeight="1" x14ac:dyDescent="0.35">
      <c r="A116" s="66"/>
      <c r="B116" s="67"/>
      <c r="M116" s="70"/>
    </row>
    <row r="117" spans="1:13" ht="15.75" customHeight="1" x14ac:dyDescent="0.35">
      <c r="A117" s="66"/>
      <c r="B117" s="67"/>
      <c r="M117" s="70"/>
    </row>
    <row r="118" spans="1:13" ht="15.75" customHeight="1" x14ac:dyDescent="0.35">
      <c r="A118" s="66"/>
      <c r="B118" s="67"/>
      <c r="M118" s="70"/>
    </row>
    <row r="119" spans="1:13" ht="15.75" customHeight="1" x14ac:dyDescent="0.35">
      <c r="A119" s="66"/>
      <c r="B119" s="67"/>
      <c r="M119" s="70"/>
    </row>
    <row r="120" spans="1:13" ht="15.75" customHeight="1" x14ac:dyDescent="0.35">
      <c r="A120" s="66"/>
      <c r="B120" s="67"/>
      <c r="M120" s="70"/>
    </row>
    <row r="121" spans="1:13" ht="15.75" customHeight="1" x14ac:dyDescent="0.35">
      <c r="A121" s="66"/>
      <c r="B121" s="67"/>
      <c r="M121" s="70"/>
    </row>
    <row r="122" spans="1:13" ht="15.75" customHeight="1" x14ac:dyDescent="0.35">
      <c r="A122" s="66"/>
      <c r="B122" s="67"/>
      <c r="M122" s="70"/>
    </row>
    <row r="123" spans="1:13" ht="15.75" customHeight="1" x14ac:dyDescent="0.35">
      <c r="A123" s="66"/>
      <c r="B123" s="67"/>
      <c r="M123" s="70"/>
    </row>
    <row r="124" spans="1:13" ht="15.75" customHeight="1" x14ac:dyDescent="0.35">
      <c r="A124" s="66"/>
      <c r="B124" s="67"/>
      <c r="M124" s="70"/>
    </row>
    <row r="125" spans="1:13" ht="15.75" customHeight="1" x14ac:dyDescent="0.35">
      <c r="A125" s="66"/>
      <c r="B125" s="67"/>
      <c r="M125" s="70"/>
    </row>
    <row r="126" spans="1:13" ht="15.75" customHeight="1" x14ac:dyDescent="0.35">
      <c r="A126" s="66"/>
      <c r="B126" s="67"/>
      <c r="M126" s="70"/>
    </row>
    <row r="127" spans="1:13" ht="15.75" customHeight="1" x14ac:dyDescent="0.35">
      <c r="A127" s="66"/>
      <c r="B127" s="67"/>
      <c r="M127" s="70"/>
    </row>
    <row r="128" spans="1:13" ht="15.75" customHeight="1" x14ac:dyDescent="0.35">
      <c r="A128" s="66"/>
      <c r="B128" s="67"/>
      <c r="M128" s="70"/>
    </row>
    <row r="129" spans="1:13" ht="15.75" customHeight="1" x14ac:dyDescent="0.35">
      <c r="A129" s="66"/>
      <c r="B129" s="67"/>
      <c r="M129" s="70"/>
    </row>
    <row r="130" spans="1:13" ht="15.75" customHeight="1" x14ac:dyDescent="0.35">
      <c r="A130" s="66"/>
      <c r="B130" s="67"/>
      <c r="M130" s="70"/>
    </row>
    <row r="131" spans="1:13" ht="15.75" customHeight="1" x14ac:dyDescent="0.35">
      <c r="A131" s="66"/>
      <c r="B131" s="67"/>
      <c r="M131" s="70"/>
    </row>
    <row r="132" spans="1:13" ht="15.75" customHeight="1" x14ac:dyDescent="0.35">
      <c r="A132" s="66"/>
      <c r="B132" s="67"/>
      <c r="M132" s="70"/>
    </row>
    <row r="133" spans="1:13" ht="15.75" customHeight="1" x14ac:dyDescent="0.35">
      <c r="A133" s="66"/>
      <c r="B133" s="67"/>
      <c r="M133" s="70"/>
    </row>
    <row r="134" spans="1:13" ht="15.75" customHeight="1" x14ac:dyDescent="0.35">
      <c r="A134" s="66"/>
      <c r="B134" s="67"/>
      <c r="M134" s="70"/>
    </row>
    <row r="135" spans="1:13" ht="15.75" customHeight="1" x14ac:dyDescent="0.35">
      <c r="A135" s="66"/>
      <c r="B135" s="67"/>
      <c r="M135" s="70"/>
    </row>
    <row r="136" spans="1:13" ht="15.75" customHeight="1" x14ac:dyDescent="0.35">
      <c r="A136" s="66"/>
      <c r="B136" s="67"/>
      <c r="M136" s="70"/>
    </row>
    <row r="137" spans="1:13" ht="15.75" customHeight="1" x14ac:dyDescent="0.35">
      <c r="A137" s="66"/>
      <c r="B137" s="67"/>
      <c r="M137" s="70"/>
    </row>
    <row r="138" spans="1:13" ht="15.75" customHeight="1" x14ac:dyDescent="0.35">
      <c r="A138" s="66"/>
      <c r="B138" s="67"/>
      <c r="M138" s="70"/>
    </row>
    <row r="139" spans="1:13" ht="15.75" customHeight="1" x14ac:dyDescent="0.35">
      <c r="A139" s="66"/>
      <c r="B139" s="67"/>
      <c r="M139" s="70"/>
    </row>
    <row r="140" spans="1:13" ht="15.75" customHeight="1" x14ac:dyDescent="0.35">
      <c r="A140" s="66"/>
      <c r="B140" s="67"/>
      <c r="M140" s="70"/>
    </row>
    <row r="141" spans="1:13" ht="15.75" customHeight="1" x14ac:dyDescent="0.35">
      <c r="A141" s="66"/>
      <c r="B141" s="67"/>
      <c r="M141" s="70"/>
    </row>
    <row r="142" spans="1:13" ht="15.75" customHeight="1" x14ac:dyDescent="0.35">
      <c r="A142" s="66"/>
      <c r="B142" s="67"/>
      <c r="M142" s="70"/>
    </row>
    <row r="143" spans="1:13" ht="15.75" customHeight="1" x14ac:dyDescent="0.35">
      <c r="A143" s="66"/>
      <c r="B143" s="67"/>
      <c r="M143" s="70"/>
    </row>
    <row r="144" spans="1:13" ht="15.75" customHeight="1" x14ac:dyDescent="0.35">
      <c r="A144" s="66"/>
      <c r="B144" s="67"/>
      <c r="M144" s="70"/>
    </row>
    <row r="145" spans="1:13" ht="15.75" customHeight="1" x14ac:dyDescent="0.35">
      <c r="A145" s="66"/>
      <c r="B145" s="67"/>
      <c r="M145" s="70"/>
    </row>
    <row r="146" spans="1:13" ht="15.75" customHeight="1" x14ac:dyDescent="0.35">
      <c r="A146" s="66"/>
      <c r="B146" s="67"/>
      <c r="M146" s="70"/>
    </row>
    <row r="147" spans="1:13" ht="15.75" customHeight="1" x14ac:dyDescent="0.35">
      <c r="A147" s="66"/>
      <c r="B147" s="67"/>
      <c r="M147" s="70"/>
    </row>
    <row r="148" spans="1:13" ht="15.75" customHeight="1" x14ac:dyDescent="0.35">
      <c r="A148" s="66"/>
      <c r="B148" s="67"/>
      <c r="M148" s="70"/>
    </row>
    <row r="149" spans="1:13" ht="15.75" customHeight="1" x14ac:dyDescent="0.35">
      <c r="A149" s="66"/>
      <c r="B149" s="67"/>
      <c r="M149" s="70"/>
    </row>
    <row r="150" spans="1:13" ht="15.75" customHeight="1" x14ac:dyDescent="0.35">
      <c r="A150" s="66"/>
      <c r="B150" s="67"/>
      <c r="M150" s="70"/>
    </row>
    <row r="151" spans="1:13" ht="15.75" customHeight="1" x14ac:dyDescent="0.35">
      <c r="A151" s="66"/>
      <c r="B151" s="67"/>
      <c r="M151" s="70"/>
    </row>
    <row r="152" spans="1:13" ht="15.75" customHeight="1" x14ac:dyDescent="0.35">
      <c r="A152" s="66"/>
      <c r="B152" s="67"/>
      <c r="M152" s="70"/>
    </row>
    <row r="153" spans="1:13" ht="15.75" customHeight="1" x14ac:dyDescent="0.35">
      <c r="A153" s="66"/>
      <c r="B153" s="67"/>
      <c r="M153" s="70"/>
    </row>
    <row r="154" spans="1:13" ht="15.75" customHeight="1" x14ac:dyDescent="0.35">
      <c r="A154" s="66"/>
      <c r="B154" s="67"/>
      <c r="M154" s="70"/>
    </row>
    <row r="155" spans="1:13" ht="15.75" customHeight="1" x14ac:dyDescent="0.35">
      <c r="A155" s="66"/>
      <c r="B155" s="67"/>
      <c r="M155" s="70"/>
    </row>
    <row r="156" spans="1:13" ht="15.75" customHeight="1" x14ac:dyDescent="0.35">
      <c r="A156" s="66"/>
      <c r="B156" s="67"/>
      <c r="M156" s="70"/>
    </row>
    <row r="157" spans="1:13" ht="15.75" customHeight="1" x14ac:dyDescent="0.35">
      <c r="A157" s="66"/>
      <c r="B157" s="67"/>
      <c r="M157" s="70"/>
    </row>
    <row r="158" spans="1:13" ht="15.75" customHeight="1" x14ac:dyDescent="0.35">
      <c r="A158" s="66"/>
      <c r="B158" s="67"/>
      <c r="M158" s="70"/>
    </row>
    <row r="159" spans="1:13" ht="15.75" customHeight="1" x14ac:dyDescent="0.35">
      <c r="A159" s="66"/>
      <c r="B159" s="67"/>
      <c r="M159" s="70"/>
    </row>
    <row r="160" spans="1:13" ht="15.75" customHeight="1" x14ac:dyDescent="0.35">
      <c r="A160" s="66"/>
      <c r="B160" s="67"/>
      <c r="M160" s="70"/>
    </row>
    <row r="161" spans="1:13" ht="15.75" customHeight="1" x14ac:dyDescent="0.35">
      <c r="A161" s="66"/>
      <c r="B161" s="67"/>
      <c r="M161" s="70"/>
    </row>
    <row r="162" spans="1:13" ht="15.75" customHeight="1" x14ac:dyDescent="0.35">
      <c r="A162" s="66"/>
      <c r="B162" s="67"/>
      <c r="M162" s="70"/>
    </row>
    <row r="163" spans="1:13" ht="15.75" customHeight="1" x14ac:dyDescent="0.35">
      <c r="A163" s="66"/>
      <c r="B163" s="67"/>
      <c r="M163" s="70"/>
    </row>
    <row r="164" spans="1:13" ht="15.75" customHeight="1" x14ac:dyDescent="0.35">
      <c r="A164" s="66"/>
      <c r="B164" s="67"/>
      <c r="M164" s="70"/>
    </row>
    <row r="165" spans="1:13" ht="15.75" customHeight="1" x14ac:dyDescent="0.35">
      <c r="A165" s="66"/>
      <c r="B165" s="67"/>
      <c r="M165" s="70"/>
    </row>
    <row r="166" spans="1:13" ht="15.75" customHeight="1" x14ac:dyDescent="0.35">
      <c r="A166" s="66"/>
      <c r="B166" s="67"/>
      <c r="M166" s="70"/>
    </row>
    <row r="167" spans="1:13" ht="15.75" customHeight="1" x14ac:dyDescent="0.35">
      <c r="A167" s="66"/>
      <c r="B167" s="67"/>
      <c r="M167" s="70"/>
    </row>
    <row r="168" spans="1:13" ht="15.75" customHeight="1" x14ac:dyDescent="0.35">
      <c r="A168" s="66"/>
      <c r="B168" s="67"/>
      <c r="M168" s="70"/>
    </row>
    <row r="169" spans="1:13" ht="15.75" customHeight="1" x14ac:dyDescent="0.35">
      <c r="A169" s="66"/>
      <c r="B169" s="67"/>
      <c r="M169" s="70"/>
    </row>
    <row r="170" spans="1:13" ht="15.75" customHeight="1" x14ac:dyDescent="0.35">
      <c r="A170" s="66"/>
      <c r="B170" s="67"/>
      <c r="M170" s="70"/>
    </row>
    <row r="171" spans="1:13" ht="15.75" customHeight="1" x14ac:dyDescent="0.35">
      <c r="A171" s="66"/>
      <c r="B171" s="67"/>
      <c r="M171" s="70"/>
    </row>
    <row r="172" spans="1:13" ht="15.75" customHeight="1" x14ac:dyDescent="0.35">
      <c r="A172" s="66"/>
      <c r="B172" s="67"/>
      <c r="M172" s="70"/>
    </row>
    <row r="173" spans="1:13" ht="15.75" customHeight="1" x14ac:dyDescent="0.35">
      <c r="A173" s="66"/>
      <c r="B173" s="67"/>
      <c r="M173" s="70"/>
    </row>
    <row r="174" spans="1:13" ht="15.75" customHeight="1" x14ac:dyDescent="0.35">
      <c r="A174" s="66"/>
      <c r="B174" s="67"/>
      <c r="M174" s="70"/>
    </row>
    <row r="175" spans="1:13" ht="15.75" customHeight="1" x14ac:dyDescent="0.35">
      <c r="A175" s="66"/>
      <c r="B175" s="67"/>
      <c r="M175" s="70"/>
    </row>
    <row r="176" spans="1:13" ht="15.75" customHeight="1" x14ac:dyDescent="0.35">
      <c r="A176" s="66"/>
      <c r="B176" s="67"/>
      <c r="M176" s="70"/>
    </row>
    <row r="177" spans="1:13" ht="15.75" customHeight="1" x14ac:dyDescent="0.35">
      <c r="A177" s="66"/>
      <c r="B177" s="67"/>
      <c r="M177" s="70"/>
    </row>
    <row r="178" spans="1:13" ht="15.75" customHeight="1" x14ac:dyDescent="0.35">
      <c r="A178" s="66"/>
      <c r="B178" s="67"/>
      <c r="M178" s="70"/>
    </row>
    <row r="179" spans="1:13" ht="15.75" customHeight="1" x14ac:dyDescent="0.35">
      <c r="A179" s="66"/>
      <c r="B179" s="67"/>
      <c r="M179" s="70"/>
    </row>
    <row r="180" spans="1:13" ht="15.75" customHeight="1" x14ac:dyDescent="0.35">
      <c r="A180" s="66"/>
      <c r="B180" s="67"/>
      <c r="M180" s="70"/>
    </row>
    <row r="181" spans="1:13" ht="15.75" customHeight="1" x14ac:dyDescent="0.35">
      <c r="A181" s="66"/>
      <c r="B181" s="67"/>
      <c r="M181" s="70"/>
    </row>
    <row r="182" spans="1:13" ht="15.75" customHeight="1" x14ac:dyDescent="0.35">
      <c r="A182" s="66"/>
      <c r="B182" s="67"/>
      <c r="M182" s="70"/>
    </row>
    <row r="183" spans="1:13" ht="15.75" customHeight="1" x14ac:dyDescent="0.35">
      <c r="A183" s="66"/>
      <c r="B183" s="67"/>
      <c r="M183" s="70"/>
    </row>
    <row r="184" spans="1:13" ht="15.75" customHeight="1" x14ac:dyDescent="0.35">
      <c r="A184" s="66"/>
      <c r="B184" s="67"/>
      <c r="M184" s="70"/>
    </row>
    <row r="185" spans="1:13" ht="15.75" customHeight="1" x14ac:dyDescent="0.35">
      <c r="A185" s="66"/>
      <c r="B185" s="67"/>
      <c r="M185" s="70"/>
    </row>
    <row r="186" spans="1:13" ht="15.75" customHeight="1" x14ac:dyDescent="0.35">
      <c r="A186" s="66"/>
      <c r="B186" s="67"/>
      <c r="M186" s="70"/>
    </row>
    <row r="187" spans="1:13" ht="15.75" customHeight="1" x14ac:dyDescent="0.35">
      <c r="A187" s="66"/>
      <c r="B187" s="67"/>
      <c r="M187" s="70"/>
    </row>
    <row r="188" spans="1:13" ht="15.75" customHeight="1" x14ac:dyDescent="0.35">
      <c r="A188" s="66"/>
      <c r="B188" s="67"/>
      <c r="M188" s="70"/>
    </row>
    <row r="189" spans="1:13" ht="15.75" customHeight="1" x14ac:dyDescent="0.35">
      <c r="A189" s="66"/>
      <c r="B189" s="67"/>
      <c r="M189" s="70"/>
    </row>
    <row r="190" spans="1:13" ht="15.75" customHeight="1" x14ac:dyDescent="0.35">
      <c r="A190" s="66"/>
      <c r="B190" s="67"/>
      <c r="M190" s="70"/>
    </row>
    <row r="191" spans="1:13" ht="15.75" customHeight="1" x14ac:dyDescent="0.35">
      <c r="A191" s="66"/>
      <c r="B191" s="67"/>
      <c r="M191" s="70"/>
    </row>
    <row r="192" spans="1:13" ht="15.75" customHeight="1" x14ac:dyDescent="0.35">
      <c r="A192" s="66"/>
      <c r="B192" s="67"/>
      <c r="M192" s="70"/>
    </row>
    <row r="193" spans="1:13" ht="15.75" customHeight="1" x14ac:dyDescent="0.35">
      <c r="A193" s="66"/>
      <c r="B193" s="67"/>
      <c r="M193" s="70"/>
    </row>
    <row r="194" spans="1:13" ht="15.75" customHeight="1" x14ac:dyDescent="0.35">
      <c r="A194" s="66"/>
      <c r="B194" s="67"/>
      <c r="M194" s="70"/>
    </row>
    <row r="195" spans="1:13" ht="15.75" customHeight="1" x14ac:dyDescent="0.35">
      <c r="A195" s="66"/>
      <c r="B195" s="67"/>
      <c r="M195" s="70"/>
    </row>
    <row r="196" spans="1:13" ht="15.75" customHeight="1" x14ac:dyDescent="0.35">
      <c r="A196" s="66"/>
      <c r="B196" s="67"/>
      <c r="M196" s="70"/>
    </row>
    <row r="197" spans="1:13" ht="15.75" customHeight="1" x14ac:dyDescent="0.35">
      <c r="A197" s="66"/>
      <c r="B197" s="67"/>
      <c r="M197" s="70"/>
    </row>
    <row r="198" spans="1:13" ht="15.75" customHeight="1" x14ac:dyDescent="0.35">
      <c r="A198" s="66"/>
      <c r="B198" s="67"/>
      <c r="M198" s="70"/>
    </row>
    <row r="199" spans="1:13" ht="15.75" customHeight="1" x14ac:dyDescent="0.35">
      <c r="A199" s="66"/>
      <c r="B199" s="67"/>
      <c r="M199" s="70"/>
    </row>
    <row r="200" spans="1:13" ht="15.75" customHeight="1" x14ac:dyDescent="0.35">
      <c r="A200" s="66"/>
      <c r="B200" s="67"/>
      <c r="M200" s="70"/>
    </row>
    <row r="201" spans="1:13" ht="15.75" customHeight="1" x14ac:dyDescent="0.35">
      <c r="A201" s="66"/>
      <c r="B201" s="67"/>
      <c r="M201" s="70"/>
    </row>
    <row r="202" spans="1:13" ht="15.75" customHeight="1" x14ac:dyDescent="0.35">
      <c r="A202" s="66"/>
      <c r="B202" s="67"/>
      <c r="M202" s="70"/>
    </row>
    <row r="203" spans="1:13" ht="15.75" customHeight="1" x14ac:dyDescent="0.35">
      <c r="A203" s="66"/>
      <c r="B203" s="67"/>
      <c r="M203" s="70"/>
    </row>
    <row r="204" spans="1:13" ht="15.75" customHeight="1" x14ac:dyDescent="0.35">
      <c r="A204" s="66"/>
      <c r="B204" s="67"/>
      <c r="M204" s="70"/>
    </row>
    <row r="205" spans="1:13" ht="15.75" customHeight="1" x14ac:dyDescent="0.35">
      <c r="A205" s="66"/>
      <c r="B205" s="67"/>
      <c r="M205" s="70"/>
    </row>
    <row r="206" spans="1:13" ht="15.75" customHeight="1" x14ac:dyDescent="0.35">
      <c r="A206" s="66"/>
      <c r="B206" s="67"/>
      <c r="M206" s="70"/>
    </row>
    <row r="207" spans="1:13" ht="15.75" customHeight="1" x14ac:dyDescent="0.35">
      <c r="A207" s="66"/>
      <c r="B207" s="67"/>
      <c r="M207" s="70"/>
    </row>
    <row r="208" spans="1:13" ht="15.75" customHeight="1" x14ac:dyDescent="0.35">
      <c r="A208" s="66"/>
      <c r="B208" s="67"/>
      <c r="M208" s="70"/>
    </row>
    <row r="209" spans="1:13" ht="15.75" customHeight="1" x14ac:dyDescent="0.35">
      <c r="A209" s="66"/>
      <c r="B209" s="67"/>
      <c r="M209" s="70"/>
    </row>
    <row r="210" spans="1:13" ht="15.75" customHeight="1" x14ac:dyDescent="0.35">
      <c r="A210" s="66"/>
      <c r="B210" s="67"/>
      <c r="M210" s="70"/>
    </row>
    <row r="211" spans="1:13" ht="15.75" customHeight="1" x14ac:dyDescent="0.35">
      <c r="A211" s="66"/>
      <c r="B211" s="67"/>
      <c r="M211" s="70"/>
    </row>
    <row r="212" spans="1:13" ht="15.75" customHeight="1" x14ac:dyDescent="0.35">
      <c r="A212" s="66"/>
      <c r="B212" s="67"/>
      <c r="M212" s="70"/>
    </row>
    <row r="213" spans="1:13" ht="15.75" customHeight="1" x14ac:dyDescent="0.35">
      <c r="A213" s="66"/>
      <c r="B213" s="67"/>
      <c r="M213" s="70"/>
    </row>
    <row r="214" spans="1:13" ht="15.75" customHeight="1" x14ac:dyDescent="0.35">
      <c r="A214" s="66"/>
      <c r="B214" s="67"/>
      <c r="M214" s="70"/>
    </row>
    <row r="215" spans="1:13" ht="15.75" customHeight="1" x14ac:dyDescent="0.35">
      <c r="A215" s="66"/>
      <c r="B215" s="67"/>
      <c r="M215" s="70"/>
    </row>
    <row r="216" spans="1:13" ht="15.75" customHeight="1" x14ac:dyDescent="0.35">
      <c r="A216" s="66"/>
      <c r="B216" s="67"/>
      <c r="M216" s="70"/>
    </row>
    <row r="217" spans="1:13" ht="15.75" customHeight="1" x14ac:dyDescent="0.35">
      <c r="A217" s="66"/>
      <c r="B217" s="67"/>
      <c r="M217" s="70"/>
    </row>
    <row r="218" spans="1:13" ht="15.75" customHeight="1" x14ac:dyDescent="0.35">
      <c r="A218" s="66"/>
      <c r="B218" s="67"/>
      <c r="M218" s="70"/>
    </row>
    <row r="219" spans="1:13" ht="15.75" customHeight="1" x14ac:dyDescent="0.35">
      <c r="A219" s="66"/>
      <c r="B219" s="67"/>
      <c r="M219" s="70"/>
    </row>
    <row r="220" spans="1:13" ht="15.75" customHeight="1" x14ac:dyDescent="0.35">
      <c r="A220" s="66"/>
      <c r="B220" s="67"/>
      <c r="M220" s="70"/>
    </row>
    <row r="221" spans="1:13" ht="15.75" customHeight="1" x14ac:dyDescent="0.35">
      <c r="A221" s="66"/>
      <c r="B221" s="67"/>
      <c r="M221" s="70"/>
    </row>
    <row r="222" spans="1:13" ht="15.75" customHeight="1" x14ac:dyDescent="0.35">
      <c r="A222" s="66"/>
      <c r="B222" s="67"/>
      <c r="M222" s="70"/>
    </row>
    <row r="223" spans="1:13" ht="15.75" customHeight="1" x14ac:dyDescent="0.35">
      <c r="A223" s="66"/>
      <c r="B223" s="67"/>
      <c r="M223" s="70"/>
    </row>
    <row r="224" spans="1:13" ht="15.75" customHeight="1" x14ac:dyDescent="0.35">
      <c r="A224" s="66"/>
      <c r="B224" s="67"/>
      <c r="M224" s="70"/>
    </row>
    <row r="225" spans="1:13" ht="15.75" customHeight="1" x14ac:dyDescent="0.35">
      <c r="A225" s="66"/>
      <c r="B225" s="67"/>
      <c r="M225" s="70"/>
    </row>
    <row r="226" spans="1:13" ht="15.75" customHeight="1" x14ac:dyDescent="0.35">
      <c r="A226" s="66"/>
      <c r="B226" s="67"/>
      <c r="M226" s="70"/>
    </row>
    <row r="227" spans="1:13" ht="15.75" customHeight="1" x14ac:dyDescent="0.35">
      <c r="A227" s="66"/>
      <c r="B227" s="67"/>
      <c r="M227" s="70"/>
    </row>
    <row r="228" spans="1:13" ht="15.75" customHeight="1" x14ac:dyDescent="0.35">
      <c r="A228" s="66"/>
      <c r="B228" s="67"/>
      <c r="M228" s="70"/>
    </row>
    <row r="229" spans="1:13" ht="15.75" customHeight="1" x14ac:dyDescent="0.35">
      <c r="A229" s="66"/>
      <c r="B229" s="67"/>
      <c r="M229" s="70"/>
    </row>
    <row r="230" spans="1:13" ht="15.75" customHeight="1" x14ac:dyDescent="0.35">
      <c r="A230" s="66"/>
      <c r="B230" s="67"/>
      <c r="M230" s="70"/>
    </row>
    <row r="231" spans="1:13" ht="15.75" customHeight="1" x14ac:dyDescent="0.35">
      <c r="A231" s="66"/>
      <c r="B231" s="67"/>
      <c r="M231" s="70"/>
    </row>
    <row r="232" spans="1:13" ht="15.75" customHeight="1" x14ac:dyDescent="0.35">
      <c r="A232" s="66"/>
      <c r="B232" s="67"/>
      <c r="M232" s="70"/>
    </row>
    <row r="233" spans="1:13" ht="15.75" customHeight="1" x14ac:dyDescent="0.35">
      <c r="A233" s="66"/>
      <c r="B233" s="67"/>
      <c r="M233" s="70"/>
    </row>
    <row r="234" spans="1:13" ht="15.75" customHeight="1" x14ac:dyDescent="0.35">
      <c r="A234" s="66"/>
      <c r="B234" s="67"/>
      <c r="M234" s="70"/>
    </row>
    <row r="235" spans="1:13" ht="15.75" customHeight="1" x14ac:dyDescent="0.35">
      <c r="A235" s="66"/>
      <c r="B235" s="67"/>
      <c r="M235" s="70"/>
    </row>
    <row r="236" spans="1:13" ht="15.75" customHeight="1" x14ac:dyDescent="0.35">
      <c r="A236" s="66"/>
      <c r="B236" s="67"/>
      <c r="M236" s="70"/>
    </row>
    <row r="237" spans="1:13" ht="15.75" customHeight="1" x14ac:dyDescent="0.35">
      <c r="A237" s="66"/>
      <c r="B237" s="67"/>
      <c r="M237" s="70"/>
    </row>
    <row r="238" spans="1:13" ht="15.75" customHeight="1" x14ac:dyDescent="0.35">
      <c r="A238" s="66"/>
      <c r="B238" s="67"/>
      <c r="M238" s="70"/>
    </row>
    <row r="239" spans="1:13" ht="15.75" customHeight="1" x14ac:dyDescent="0.35">
      <c r="A239" s="66"/>
      <c r="B239" s="67"/>
      <c r="M239" s="70"/>
    </row>
    <row r="240" spans="1:13" ht="15.75" customHeight="1" x14ac:dyDescent="0.35">
      <c r="A240" s="66"/>
      <c r="B240" s="67"/>
      <c r="M240" s="70"/>
    </row>
    <row r="241" spans="1:13" ht="15.75" customHeight="1" x14ac:dyDescent="0.35">
      <c r="A241" s="66"/>
      <c r="B241" s="67"/>
      <c r="M241" s="70"/>
    </row>
    <row r="242" spans="1:13" ht="15.75" customHeight="1" x14ac:dyDescent="0.35">
      <c r="A242" s="66"/>
      <c r="B242" s="67"/>
      <c r="M242" s="70"/>
    </row>
    <row r="243" spans="1:13" ht="15.75" customHeight="1" x14ac:dyDescent="0.35">
      <c r="A243" s="66"/>
      <c r="B243" s="67"/>
      <c r="M243" s="70"/>
    </row>
    <row r="244" spans="1:13" ht="15.75" customHeight="1" x14ac:dyDescent="0.35">
      <c r="A244" s="66"/>
      <c r="B244" s="67"/>
      <c r="M244" s="70"/>
    </row>
    <row r="245" spans="1:13" ht="15.75" customHeight="1" x14ac:dyDescent="0.35">
      <c r="A245" s="66"/>
      <c r="B245" s="67"/>
      <c r="M245" s="70"/>
    </row>
    <row r="246" spans="1:13" ht="15.75" customHeight="1" x14ac:dyDescent="0.35">
      <c r="A246" s="66"/>
      <c r="B246" s="67"/>
      <c r="M246" s="70"/>
    </row>
    <row r="247" spans="1:13" ht="15.75" customHeight="1" x14ac:dyDescent="0.35">
      <c r="A247" s="66"/>
      <c r="B247" s="67"/>
      <c r="M247" s="70"/>
    </row>
    <row r="248" spans="1:13" ht="15.75" customHeight="1" x14ac:dyDescent="0.35">
      <c r="A248" s="66"/>
      <c r="B248" s="67"/>
      <c r="M248" s="70"/>
    </row>
    <row r="249" spans="1:13" ht="15.75" customHeight="1" x14ac:dyDescent="0.35">
      <c r="A249" s="66"/>
      <c r="B249" s="67"/>
      <c r="M249" s="70"/>
    </row>
    <row r="250" spans="1:13" ht="15.75" customHeight="1" x14ac:dyDescent="0.35">
      <c r="A250" s="66"/>
      <c r="B250" s="67"/>
      <c r="M250" s="70"/>
    </row>
    <row r="251" spans="1:13" ht="15.75" customHeight="1" x14ac:dyDescent="0.35">
      <c r="A251" s="66"/>
      <c r="B251" s="67"/>
      <c r="M251" s="70"/>
    </row>
    <row r="252" spans="1:13" ht="15.75" customHeight="1" x14ac:dyDescent="0.35">
      <c r="A252" s="66"/>
      <c r="B252" s="67"/>
      <c r="M252" s="70"/>
    </row>
    <row r="253" spans="1:13" ht="15.75" customHeight="1" x14ac:dyDescent="0.35">
      <c r="A253" s="66"/>
      <c r="B253" s="67"/>
      <c r="M253" s="70"/>
    </row>
    <row r="254" spans="1:13" ht="15.75" customHeight="1" x14ac:dyDescent="0.35">
      <c r="A254" s="66"/>
      <c r="B254" s="67"/>
      <c r="M254" s="70"/>
    </row>
    <row r="255" spans="1:13" ht="15.75" customHeight="1" x14ac:dyDescent="0.35">
      <c r="A255" s="66"/>
      <c r="B255" s="67"/>
      <c r="M255" s="70"/>
    </row>
    <row r="256" spans="1:13" ht="15.75" customHeight="1" x14ac:dyDescent="0.35">
      <c r="A256" s="66"/>
      <c r="B256" s="67"/>
      <c r="M256" s="70"/>
    </row>
    <row r="257" spans="1:13" ht="15.75" customHeight="1" x14ac:dyDescent="0.35">
      <c r="A257" s="66"/>
      <c r="B257" s="67"/>
      <c r="M257" s="70"/>
    </row>
    <row r="258" spans="1:13" ht="15.75" customHeight="1" x14ac:dyDescent="0.35">
      <c r="A258" s="66"/>
      <c r="B258" s="67"/>
      <c r="M258" s="70"/>
    </row>
    <row r="259" spans="1:13" ht="15.75" customHeight="1" x14ac:dyDescent="0.35">
      <c r="A259" s="66"/>
      <c r="B259" s="67"/>
      <c r="M259" s="70"/>
    </row>
    <row r="260" spans="1:13" ht="15.75" customHeight="1" x14ac:dyDescent="0.35">
      <c r="A260" s="66"/>
      <c r="B260" s="67"/>
      <c r="M260" s="70"/>
    </row>
    <row r="261" spans="1:13" ht="15.75" customHeight="1" x14ac:dyDescent="0.35">
      <c r="A261" s="66"/>
      <c r="B261" s="67"/>
      <c r="M261" s="70"/>
    </row>
    <row r="262" spans="1:13" ht="15.75" customHeight="1" x14ac:dyDescent="0.35">
      <c r="A262" s="66"/>
      <c r="B262" s="67"/>
      <c r="M262" s="70"/>
    </row>
    <row r="263" spans="1:13" ht="15.75" customHeight="1" x14ac:dyDescent="0.35">
      <c r="A263" s="66"/>
      <c r="B263" s="67"/>
      <c r="M263" s="70"/>
    </row>
    <row r="264" spans="1:13" ht="15.75" customHeight="1" x14ac:dyDescent="0.35">
      <c r="A264" s="66"/>
      <c r="B264" s="67"/>
      <c r="M264" s="70"/>
    </row>
    <row r="265" spans="1:13" ht="15.75" customHeight="1" x14ac:dyDescent="0.35">
      <c r="A265" s="66"/>
      <c r="B265" s="67"/>
      <c r="M265" s="70"/>
    </row>
    <row r="266" spans="1:13" ht="15.75" customHeight="1" x14ac:dyDescent="0.35">
      <c r="A266" s="66"/>
      <c r="B266" s="67"/>
      <c r="M266" s="70"/>
    </row>
    <row r="267" spans="1:13" ht="15.75" customHeight="1" x14ac:dyDescent="0.35">
      <c r="A267" s="66"/>
      <c r="B267" s="67"/>
      <c r="M267" s="70"/>
    </row>
    <row r="268" spans="1:13" ht="15.75" customHeight="1" x14ac:dyDescent="0.35">
      <c r="A268" s="66"/>
      <c r="B268" s="67"/>
      <c r="M268" s="70"/>
    </row>
    <row r="269" spans="1:13" ht="15.75" customHeight="1" x14ac:dyDescent="0.35">
      <c r="A269" s="66"/>
      <c r="B269" s="67"/>
      <c r="M269" s="70"/>
    </row>
    <row r="270" spans="1:13" ht="15.75" customHeight="1" x14ac:dyDescent="0.35">
      <c r="A270" s="66"/>
      <c r="B270" s="67"/>
      <c r="M270" s="70"/>
    </row>
    <row r="271" spans="1:13" ht="15.75" customHeight="1" x14ac:dyDescent="0.35">
      <c r="A271" s="66"/>
      <c r="B271" s="67"/>
      <c r="M271" s="70"/>
    </row>
    <row r="272" spans="1:13" ht="15.75" customHeight="1" x14ac:dyDescent="0.35">
      <c r="A272" s="66"/>
      <c r="B272" s="67"/>
      <c r="M272" s="70"/>
    </row>
    <row r="273" spans="1:13" ht="15.75" customHeight="1" x14ac:dyDescent="0.35">
      <c r="A273" s="66"/>
      <c r="B273" s="67"/>
      <c r="M273" s="70"/>
    </row>
    <row r="274" spans="1:13" ht="15.75" customHeight="1" x14ac:dyDescent="0.35">
      <c r="A274" s="66"/>
      <c r="B274" s="67"/>
      <c r="M274" s="70"/>
    </row>
    <row r="275" spans="1:13" ht="15.75" customHeight="1" x14ac:dyDescent="0.35">
      <c r="A275" s="66"/>
      <c r="B275" s="67"/>
      <c r="M275" s="70"/>
    </row>
    <row r="276" spans="1:13" ht="15.75" customHeight="1" x14ac:dyDescent="0.35">
      <c r="A276" s="66"/>
      <c r="B276" s="67"/>
      <c r="M276" s="70"/>
    </row>
    <row r="277" spans="1:13" ht="15.75" customHeight="1" x14ac:dyDescent="0.35">
      <c r="A277" s="66"/>
      <c r="B277" s="67"/>
      <c r="M277" s="70"/>
    </row>
    <row r="278" spans="1:13" ht="15.75" customHeight="1" x14ac:dyDescent="0.35">
      <c r="A278" s="66"/>
      <c r="B278" s="67"/>
      <c r="M278" s="70"/>
    </row>
    <row r="279" spans="1:13" ht="15.75" customHeight="1" x14ac:dyDescent="0.35">
      <c r="A279" s="66"/>
      <c r="B279" s="67"/>
      <c r="M279" s="70"/>
    </row>
    <row r="280" spans="1:13" ht="15.75" customHeight="1" x14ac:dyDescent="0.35">
      <c r="A280" s="66"/>
      <c r="B280" s="67"/>
      <c r="M280" s="70"/>
    </row>
    <row r="281" spans="1:13" ht="15.75" customHeight="1" x14ac:dyDescent="0.35">
      <c r="A281" s="66"/>
      <c r="B281" s="67"/>
      <c r="M281" s="70"/>
    </row>
    <row r="282" spans="1:13" ht="15.75" customHeight="1" x14ac:dyDescent="0.35">
      <c r="A282" s="66"/>
      <c r="B282" s="67"/>
      <c r="M282" s="70"/>
    </row>
    <row r="283" spans="1:13" ht="15.75" customHeight="1" x14ac:dyDescent="0.35">
      <c r="A283" s="66"/>
      <c r="B283" s="67"/>
      <c r="M283" s="70"/>
    </row>
    <row r="284" spans="1:13" ht="15.75" customHeight="1" x14ac:dyDescent="0.35">
      <c r="A284" s="66"/>
      <c r="B284" s="67"/>
      <c r="M284" s="70"/>
    </row>
    <row r="285" spans="1:13" ht="15.75" customHeight="1" x14ac:dyDescent="0.35">
      <c r="A285" s="66"/>
      <c r="B285" s="67"/>
      <c r="M285" s="70"/>
    </row>
    <row r="286" spans="1:13" ht="15.75" customHeight="1" x14ac:dyDescent="0.35">
      <c r="A286" s="66"/>
      <c r="B286" s="67"/>
      <c r="M286" s="70"/>
    </row>
    <row r="287" spans="1:13" ht="15.75" customHeight="1" x14ac:dyDescent="0.35">
      <c r="A287" s="66"/>
      <c r="B287" s="67"/>
      <c r="M287" s="70"/>
    </row>
    <row r="288" spans="1:13" ht="15.75" customHeight="1" x14ac:dyDescent="0.35">
      <c r="A288" s="66"/>
      <c r="B288" s="67"/>
      <c r="M288" s="70"/>
    </row>
    <row r="289" spans="1:13" ht="15.75" customHeight="1" x14ac:dyDescent="0.35">
      <c r="A289" s="66"/>
      <c r="B289" s="67"/>
      <c r="M289" s="70"/>
    </row>
    <row r="290" spans="1:13" ht="15.75" customHeight="1" x14ac:dyDescent="0.35">
      <c r="A290" s="66"/>
      <c r="B290" s="67"/>
      <c r="M290" s="70"/>
    </row>
    <row r="291" spans="1:13" ht="15.75" customHeight="1" x14ac:dyDescent="0.35">
      <c r="A291" s="66"/>
      <c r="B291" s="67"/>
      <c r="M291" s="70"/>
    </row>
    <row r="292" spans="1:13" ht="15.75" customHeight="1" x14ac:dyDescent="0.35">
      <c r="A292" s="66"/>
      <c r="B292" s="67"/>
      <c r="M292" s="70"/>
    </row>
    <row r="293" spans="1:13" ht="15.75" customHeight="1" x14ac:dyDescent="0.35">
      <c r="A293" s="66"/>
      <c r="B293" s="67"/>
      <c r="M293" s="70"/>
    </row>
    <row r="294" spans="1:13" ht="15.75" customHeight="1" x14ac:dyDescent="0.35">
      <c r="A294" s="66"/>
      <c r="B294" s="67"/>
      <c r="M294" s="70"/>
    </row>
    <row r="295" spans="1:13" ht="15.75" customHeight="1" x14ac:dyDescent="0.35">
      <c r="A295" s="66"/>
      <c r="B295" s="67"/>
      <c r="M295" s="70"/>
    </row>
    <row r="296" spans="1:13" ht="15.75" customHeight="1" x14ac:dyDescent="0.35">
      <c r="A296" s="66"/>
      <c r="B296" s="67"/>
      <c r="M296" s="70"/>
    </row>
    <row r="297" spans="1:13" ht="15.75" customHeight="1" x14ac:dyDescent="0.35">
      <c r="A297" s="66"/>
      <c r="B297" s="67"/>
      <c r="M297" s="70"/>
    </row>
    <row r="298" spans="1:13" ht="15.75" customHeight="1" x14ac:dyDescent="0.35">
      <c r="A298" s="66"/>
      <c r="B298" s="67"/>
      <c r="M298" s="70"/>
    </row>
    <row r="299" spans="1:13" ht="15.75" customHeight="1" x14ac:dyDescent="0.35">
      <c r="A299" s="66"/>
      <c r="B299" s="67"/>
      <c r="M299" s="70"/>
    </row>
    <row r="300" spans="1:13" ht="15.75" customHeight="1" x14ac:dyDescent="0.35">
      <c r="A300" s="66"/>
      <c r="B300" s="67"/>
      <c r="M300" s="70"/>
    </row>
    <row r="301" spans="1:13" ht="15.75" customHeight="1" x14ac:dyDescent="0.35">
      <c r="A301" s="66"/>
      <c r="B301" s="67"/>
      <c r="M301" s="70"/>
    </row>
    <row r="302" spans="1:13" ht="15.75" customHeight="1" x14ac:dyDescent="0.35">
      <c r="A302" s="66"/>
      <c r="B302" s="67"/>
      <c r="M302" s="70"/>
    </row>
    <row r="303" spans="1:13" ht="15.75" customHeight="1" x14ac:dyDescent="0.35">
      <c r="A303" s="66"/>
      <c r="B303" s="67"/>
      <c r="M303" s="70"/>
    </row>
    <row r="304" spans="1:13" ht="15.75" customHeight="1" x14ac:dyDescent="0.35">
      <c r="A304" s="66"/>
      <c r="B304" s="67"/>
      <c r="M304" s="70"/>
    </row>
    <row r="305" spans="1:13" ht="15.75" customHeight="1" x14ac:dyDescent="0.35">
      <c r="A305" s="66"/>
      <c r="B305" s="67"/>
      <c r="M305" s="70"/>
    </row>
    <row r="306" spans="1:13" ht="15.75" customHeight="1" x14ac:dyDescent="0.35">
      <c r="A306" s="66"/>
      <c r="B306" s="67"/>
      <c r="M306" s="70"/>
    </row>
    <row r="307" spans="1:13" ht="15.75" customHeight="1" x14ac:dyDescent="0.35">
      <c r="A307" s="66"/>
      <c r="B307" s="67"/>
      <c r="M307" s="70"/>
    </row>
    <row r="308" spans="1:13" ht="15.75" customHeight="1" x14ac:dyDescent="0.35">
      <c r="A308" s="66"/>
      <c r="B308" s="67"/>
      <c r="M308" s="70"/>
    </row>
    <row r="309" spans="1:13" ht="15.75" customHeight="1" x14ac:dyDescent="0.35">
      <c r="A309" s="66"/>
      <c r="B309" s="67"/>
      <c r="M309" s="70"/>
    </row>
    <row r="310" spans="1:13" ht="15.75" customHeight="1" x14ac:dyDescent="0.35">
      <c r="A310" s="66"/>
      <c r="B310" s="67"/>
      <c r="M310" s="70"/>
    </row>
    <row r="311" spans="1:13" ht="15.75" customHeight="1" x14ac:dyDescent="0.35">
      <c r="A311" s="66"/>
      <c r="B311" s="67"/>
      <c r="M311" s="70"/>
    </row>
    <row r="312" spans="1:13" ht="15.75" customHeight="1" x14ac:dyDescent="0.35">
      <c r="A312" s="66"/>
      <c r="B312" s="67"/>
      <c r="M312" s="70"/>
    </row>
    <row r="313" spans="1:13" ht="15.75" customHeight="1" x14ac:dyDescent="0.35">
      <c r="A313" s="66"/>
      <c r="B313" s="67"/>
      <c r="M313" s="70"/>
    </row>
    <row r="314" spans="1:13" ht="15.75" customHeight="1" x14ac:dyDescent="0.35">
      <c r="A314" s="66"/>
      <c r="B314" s="67"/>
      <c r="M314" s="70"/>
    </row>
    <row r="315" spans="1:13" ht="15.75" customHeight="1" x14ac:dyDescent="0.35">
      <c r="A315" s="66"/>
      <c r="B315" s="67"/>
      <c r="M315" s="70"/>
    </row>
    <row r="316" spans="1:13" ht="15.75" customHeight="1" x14ac:dyDescent="0.35">
      <c r="A316" s="66"/>
      <c r="B316" s="67"/>
      <c r="M316" s="70"/>
    </row>
    <row r="317" spans="1:13" ht="15.75" customHeight="1" x14ac:dyDescent="0.35">
      <c r="A317" s="66"/>
      <c r="B317" s="67"/>
      <c r="M317" s="70"/>
    </row>
    <row r="318" spans="1:13" ht="15.75" customHeight="1" x14ac:dyDescent="0.35">
      <c r="A318" s="66"/>
      <c r="B318" s="67"/>
      <c r="M318" s="70"/>
    </row>
    <row r="319" spans="1:13" ht="15.75" customHeight="1" x14ac:dyDescent="0.35">
      <c r="A319" s="66"/>
      <c r="B319" s="67"/>
      <c r="M319" s="70"/>
    </row>
    <row r="320" spans="1:13" ht="15.75" customHeight="1" x14ac:dyDescent="0.35">
      <c r="A320" s="66"/>
      <c r="B320" s="67"/>
      <c r="M320" s="70"/>
    </row>
    <row r="321" spans="1:13" ht="15.75" customHeight="1" x14ac:dyDescent="0.35">
      <c r="A321" s="66"/>
      <c r="B321" s="67"/>
      <c r="M321" s="70"/>
    </row>
    <row r="322" spans="1:13" ht="15.75" customHeight="1" x14ac:dyDescent="0.35">
      <c r="A322" s="66"/>
      <c r="B322" s="67"/>
      <c r="M322" s="70"/>
    </row>
    <row r="323" spans="1:13" ht="15.75" customHeight="1" x14ac:dyDescent="0.35">
      <c r="A323" s="66"/>
      <c r="B323" s="67"/>
      <c r="M323" s="70"/>
    </row>
    <row r="324" spans="1:13" ht="15.75" customHeight="1" x14ac:dyDescent="0.35">
      <c r="A324" s="66"/>
      <c r="B324" s="67"/>
      <c r="M324" s="70"/>
    </row>
    <row r="325" spans="1:13" ht="15.75" customHeight="1" x14ac:dyDescent="0.35">
      <c r="A325" s="66"/>
      <c r="B325" s="67"/>
      <c r="M325" s="70"/>
    </row>
    <row r="326" spans="1:13" ht="15.75" customHeight="1" x14ac:dyDescent="0.35">
      <c r="A326" s="66"/>
      <c r="B326" s="67"/>
      <c r="M326" s="70"/>
    </row>
    <row r="327" spans="1:13" ht="15.75" customHeight="1" x14ac:dyDescent="0.35">
      <c r="A327" s="66"/>
      <c r="B327" s="67"/>
      <c r="M327" s="70"/>
    </row>
    <row r="328" spans="1:13" ht="15.75" customHeight="1" x14ac:dyDescent="0.35">
      <c r="A328" s="66"/>
      <c r="B328" s="67"/>
      <c r="M328" s="70"/>
    </row>
    <row r="329" spans="1:13" ht="15.75" customHeight="1" x14ac:dyDescent="0.35">
      <c r="A329" s="66"/>
      <c r="B329" s="67"/>
      <c r="M329" s="70"/>
    </row>
    <row r="330" spans="1:13" ht="15.75" customHeight="1" x14ac:dyDescent="0.35">
      <c r="A330" s="66"/>
      <c r="B330" s="67"/>
      <c r="M330" s="70"/>
    </row>
    <row r="331" spans="1:13" ht="15.75" customHeight="1" x14ac:dyDescent="0.35">
      <c r="A331" s="66"/>
      <c r="B331" s="67"/>
      <c r="M331" s="70"/>
    </row>
    <row r="332" spans="1:13" ht="15.75" customHeight="1" x14ac:dyDescent="0.35">
      <c r="A332" s="66"/>
      <c r="B332" s="67"/>
      <c r="M332" s="70"/>
    </row>
    <row r="333" spans="1:13" ht="15.75" customHeight="1" x14ac:dyDescent="0.35">
      <c r="A333" s="66"/>
      <c r="B333" s="67"/>
      <c r="M333" s="70"/>
    </row>
    <row r="334" spans="1:13" ht="15.75" customHeight="1" x14ac:dyDescent="0.35">
      <c r="A334" s="66"/>
      <c r="B334" s="67"/>
      <c r="M334" s="70"/>
    </row>
    <row r="335" spans="1:13" ht="15.75" customHeight="1" x14ac:dyDescent="0.35">
      <c r="A335" s="66"/>
      <c r="B335" s="67"/>
      <c r="M335" s="70"/>
    </row>
    <row r="336" spans="1:13" ht="15.75" customHeight="1" x14ac:dyDescent="0.35">
      <c r="A336" s="66"/>
      <c r="B336" s="67"/>
      <c r="M336" s="70"/>
    </row>
    <row r="337" spans="1:13" ht="15.75" customHeight="1" x14ac:dyDescent="0.35">
      <c r="A337" s="66"/>
      <c r="B337" s="67"/>
      <c r="M337" s="70"/>
    </row>
    <row r="338" spans="1:13" ht="15.75" customHeight="1" x14ac:dyDescent="0.35">
      <c r="A338" s="66"/>
      <c r="B338" s="67"/>
      <c r="M338" s="70"/>
    </row>
    <row r="339" spans="1:13" ht="15.75" customHeight="1" x14ac:dyDescent="0.35">
      <c r="A339" s="66"/>
      <c r="B339" s="67"/>
      <c r="M339" s="70"/>
    </row>
    <row r="340" spans="1:13" ht="15.75" customHeight="1" x14ac:dyDescent="0.35">
      <c r="A340" s="66"/>
      <c r="B340" s="67"/>
      <c r="M340" s="70"/>
    </row>
    <row r="341" spans="1:13" ht="15.75" customHeight="1" x14ac:dyDescent="0.35">
      <c r="A341" s="66"/>
      <c r="B341" s="67"/>
      <c r="M341" s="70"/>
    </row>
    <row r="342" spans="1:13" ht="15.75" customHeight="1" x14ac:dyDescent="0.35">
      <c r="A342" s="66"/>
      <c r="B342" s="67"/>
      <c r="M342" s="70"/>
    </row>
    <row r="343" spans="1:13" ht="15.75" customHeight="1" x14ac:dyDescent="0.35">
      <c r="A343" s="66"/>
      <c r="B343" s="67"/>
      <c r="M343" s="70"/>
    </row>
    <row r="344" spans="1:13" ht="15.75" customHeight="1" x14ac:dyDescent="0.35">
      <c r="A344" s="66"/>
      <c r="B344" s="67"/>
      <c r="M344" s="70"/>
    </row>
    <row r="345" spans="1:13" ht="15.75" customHeight="1" x14ac:dyDescent="0.35">
      <c r="A345" s="66"/>
      <c r="B345" s="67"/>
      <c r="M345" s="70"/>
    </row>
    <row r="346" spans="1:13" ht="15.75" customHeight="1" x14ac:dyDescent="0.35">
      <c r="A346" s="66"/>
      <c r="B346" s="67"/>
      <c r="M346" s="70"/>
    </row>
    <row r="347" spans="1:13" ht="15.75" customHeight="1" x14ac:dyDescent="0.35">
      <c r="A347" s="66"/>
      <c r="B347" s="67"/>
      <c r="M347" s="70"/>
    </row>
    <row r="348" spans="1:13" ht="15.75" customHeight="1" x14ac:dyDescent="0.35">
      <c r="A348" s="66"/>
      <c r="B348" s="67"/>
      <c r="M348" s="70"/>
    </row>
    <row r="349" spans="1:13" ht="15.75" customHeight="1" x14ac:dyDescent="0.35">
      <c r="A349" s="66"/>
      <c r="B349" s="67"/>
      <c r="M349" s="70"/>
    </row>
    <row r="350" spans="1:13" ht="15.75" customHeight="1" x14ac:dyDescent="0.35">
      <c r="A350" s="66"/>
      <c r="B350" s="67"/>
      <c r="M350" s="70"/>
    </row>
    <row r="351" spans="1:13" ht="15.75" customHeight="1" x14ac:dyDescent="0.35">
      <c r="A351" s="66"/>
      <c r="B351" s="67"/>
      <c r="M351" s="70"/>
    </row>
    <row r="352" spans="1:13" ht="15.75" customHeight="1" x14ac:dyDescent="0.35">
      <c r="A352" s="66"/>
      <c r="B352" s="67"/>
      <c r="M352" s="70"/>
    </row>
    <row r="353" spans="1:13" ht="15.75" customHeight="1" x14ac:dyDescent="0.35">
      <c r="A353" s="66"/>
      <c r="B353" s="67"/>
      <c r="M353" s="70"/>
    </row>
    <row r="354" spans="1:13" ht="15.75" customHeight="1" x14ac:dyDescent="0.35">
      <c r="A354" s="66"/>
      <c r="B354" s="67"/>
      <c r="M354" s="70"/>
    </row>
    <row r="355" spans="1:13" ht="15.75" customHeight="1" x14ac:dyDescent="0.35">
      <c r="A355" s="66"/>
      <c r="B355" s="67"/>
      <c r="M355" s="70"/>
    </row>
    <row r="356" spans="1:13" ht="15.75" customHeight="1" x14ac:dyDescent="0.35">
      <c r="A356" s="66"/>
      <c r="B356" s="67"/>
      <c r="M356" s="70"/>
    </row>
    <row r="357" spans="1:13" ht="15.75" customHeight="1" x14ac:dyDescent="0.35">
      <c r="A357" s="66"/>
      <c r="B357" s="67"/>
      <c r="M357" s="70"/>
    </row>
    <row r="358" spans="1:13" ht="15.75" customHeight="1" x14ac:dyDescent="0.35">
      <c r="A358" s="66"/>
      <c r="B358" s="67"/>
      <c r="M358" s="70"/>
    </row>
    <row r="359" spans="1:13" ht="15.75" customHeight="1" x14ac:dyDescent="0.35">
      <c r="A359" s="66"/>
      <c r="B359" s="67"/>
      <c r="M359" s="70"/>
    </row>
    <row r="360" spans="1:13" ht="15.75" customHeight="1" x14ac:dyDescent="0.35">
      <c r="A360" s="66"/>
      <c r="B360" s="67"/>
      <c r="M360" s="70"/>
    </row>
    <row r="361" spans="1:13" ht="15.75" customHeight="1" x14ac:dyDescent="0.35">
      <c r="A361" s="66"/>
      <c r="B361" s="67"/>
      <c r="M361" s="70"/>
    </row>
    <row r="362" spans="1:13" ht="15.75" customHeight="1" x14ac:dyDescent="0.35">
      <c r="A362" s="66"/>
      <c r="B362" s="67"/>
      <c r="M362" s="70"/>
    </row>
    <row r="363" spans="1:13" ht="15.75" customHeight="1" x14ac:dyDescent="0.35">
      <c r="A363" s="66"/>
      <c r="B363" s="67"/>
      <c r="M363" s="70"/>
    </row>
    <row r="364" spans="1:13" ht="15.75" customHeight="1" x14ac:dyDescent="0.35">
      <c r="A364" s="66"/>
      <c r="B364" s="67"/>
      <c r="M364" s="70"/>
    </row>
    <row r="365" spans="1:13" ht="15.75" customHeight="1" x14ac:dyDescent="0.35">
      <c r="A365" s="66"/>
      <c r="B365" s="67"/>
      <c r="M365" s="70"/>
    </row>
    <row r="366" spans="1:13" ht="15.75" customHeight="1" x14ac:dyDescent="0.35">
      <c r="A366" s="66"/>
      <c r="B366" s="67"/>
      <c r="M366" s="70"/>
    </row>
    <row r="367" spans="1:13" ht="15.75" customHeight="1" x14ac:dyDescent="0.35">
      <c r="A367" s="66"/>
      <c r="B367" s="67"/>
      <c r="M367" s="70"/>
    </row>
    <row r="368" spans="1:13" ht="15.75" customHeight="1" x14ac:dyDescent="0.35">
      <c r="A368" s="66"/>
      <c r="B368" s="67"/>
      <c r="M368" s="70"/>
    </row>
    <row r="369" spans="1:13" ht="15.75" customHeight="1" x14ac:dyDescent="0.35">
      <c r="A369" s="66"/>
      <c r="B369" s="67"/>
      <c r="M369" s="70"/>
    </row>
    <row r="370" spans="1:13" ht="15.75" customHeight="1" x14ac:dyDescent="0.35">
      <c r="A370" s="66"/>
      <c r="B370" s="67"/>
      <c r="M370" s="70"/>
    </row>
    <row r="371" spans="1:13" ht="15.75" customHeight="1" x14ac:dyDescent="0.35">
      <c r="A371" s="66"/>
      <c r="B371" s="67"/>
      <c r="M371" s="70"/>
    </row>
    <row r="372" spans="1:13" ht="15.75" customHeight="1" x14ac:dyDescent="0.35">
      <c r="A372" s="66"/>
      <c r="B372" s="67"/>
      <c r="M372" s="70"/>
    </row>
    <row r="373" spans="1:13" ht="15.75" customHeight="1" x14ac:dyDescent="0.35">
      <c r="A373" s="66"/>
      <c r="B373" s="67"/>
      <c r="M373" s="70"/>
    </row>
    <row r="374" spans="1:13" ht="15.75" customHeight="1" x14ac:dyDescent="0.35">
      <c r="A374" s="66"/>
      <c r="B374" s="67"/>
      <c r="M374" s="70"/>
    </row>
    <row r="375" spans="1:13" ht="15.75" customHeight="1" x14ac:dyDescent="0.35">
      <c r="A375" s="66"/>
      <c r="B375" s="67"/>
      <c r="M375" s="70"/>
    </row>
    <row r="376" spans="1:13" ht="15.75" customHeight="1" x14ac:dyDescent="0.35">
      <c r="A376" s="66"/>
      <c r="B376" s="67"/>
      <c r="M376" s="70"/>
    </row>
    <row r="377" spans="1:13" ht="15.75" customHeight="1" x14ac:dyDescent="0.35">
      <c r="A377" s="66"/>
      <c r="B377" s="67"/>
      <c r="M377" s="70"/>
    </row>
    <row r="378" spans="1:13" ht="15.75" customHeight="1" x14ac:dyDescent="0.35">
      <c r="A378" s="66"/>
      <c r="B378" s="67"/>
      <c r="M378" s="70"/>
    </row>
    <row r="379" spans="1:13" ht="15.75" customHeight="1" x14ac:dyDescent="0.35">
      <c r="A379" s="66"/>
      <c r="B379" s="67"/>
      <c r="M379" s="70"/>
    </row>
    <row r="380" spans="1:13" ht="15.75" customHeight="1" x14ac:dyDescent="0.35">
      <c r="A380" s="66"/>
      <c r="B380" s="67"/>
      <c r="M380" s="70"/>
    </row>
    <row r="381" spans="1:13" ht="15.75" customHeight="1" x14ac:dyDescent="0.35">
      <c r="A381" s="66"/>
      <c r="B381" s="67"/>
      <c r="M381" s="70"/>
    </row>
    <row r="382" spans="1:13" ht="15.75" customHeight="1" x14ac:dyDescent="0.35">
      <c r="A382" s="66"/>
      <c r="B382" s="67"/>
      <c r="M382" s="70"/>
    </row>
    <row r="383" spans="1:13" ht="15.75" customHeight="1" x14ac:dyDescent="0.35">
      <c r="A383" s="66"/>
      <c r="B383" s="67"/>
      <c r="M383" s="70"/>
    </row>
    <row r="384" spans="1:13" ht="15.75" customHeight="1" x14ac:dyDescent="0.35">
      <c r="A384" s="66"/>
      <c r="B384" s="67"/>
      <c r="M384" s="70"/>
    </row>
    <row r="385" spans="1:13" ht="15.75" customHeight="1" x14ac:dyDescent="0.35">
      <c r="A385" s="66"/>
      <c r="B385" s="67"/>
      <c r="M385" s="70"/>
    </row>
    <row r="386" spans="1:13" ht="15.75" customHeight="1" x14ac:dyDescent="0.35">
      <c r="A386" s="66"/>
      <c r="B386" s="67"/>
      <c r="M386" s="70"/>
    </row>
    <row r="387" spans="1:13" ht="15.75" customHeight="1" x14ac:dyDescent="0.35">
      <c r="A387" s="66"/>
      <c r="B387" s="67"/>
      <c r="M387" s="70"/>
    </row>
    <row r="388" spans="1:13" ht="15.75" customHeight="1" x14ac:dyDescent="0.35">
      <c r="A388" s="66"/>
      <c r="B388" s="67"/>
      <c r="M388" s="70"/>
    </row>
    <row r="389" spans="1:13" ht="15.75" customHeight="1" x14ac:dyDescent="0.35">
      <c r="A389" s="66"/>
      <c r="B389" s="67"/>
      <c r="M389" s="70"/>
    </row>
    <row r="390" spans="1:13" ht="15.75" customHeight="1" x14ac:dyDescent="0.35">
      <c r="A390" s="66"/>
      <c r="B390" s="67"/>
      <c r="M390" s="70"/>
    </row>
    <row r="391" spans="1:13" ht="15.75" customHeight="1" x14ac:dyDescent="0.35">
      <c r="A391" s="66"/>
      <c r="B391" s="67"/>
      <c r="M391" s="70"/>
    </row>
    <row r="392" spans="1:13" ht="15.75" customHeight="1" x14ac:dyDescent="0.35">
      <c r="A392" s="66"/>
      <c r="B392" s="67"/>
      <c r="M392" s="70"/>
    </row>
    <row r="393" spans="1:13" ht="15.75" customHeight="1" x14ac:dyDescent="0.35">
      <c r="A393" s="66"/>
      <c r="B393" s="67"/>
      <c r="M393" s="70"/>
    </row>
    <row r="394" spans="1:13" ht="15.75" customHeight="1" x14ac:dyDescent="0.35">
      <c r="A394" s="66"/>
      <c r="B394" s="67"/>
      <c r="M394" s="70"/>
    </row>
    <row r="395" spans="1:13" ht="15.75" customHeight="1" x14ac:dyDescent="0.35">
      <c r="A395" s="66"/>
      <c r="B395" s="67"/>
      <c r="M395" s="70"/>
    </row>
    <row r="396" spans="1:13" ht="15.75" customHeight="1" x14ac:dyDescent="0.35">
      <c r="A396" s="66"/>
      <c r="B396" s="67"/>
      <c r="M396" s="70"/>
    </row>
    <row r="397" spans="1:13" ht="15.75" customHeight="1" x14ac:dyDescent="0.35">
      <c r="A397" s="66"/>
      <c r="B397" s="67"/>
      <c r="M397" s="70"/>
    </row>
    <row r="398" spans="1:13" ht="15.75" customHeight="1" x14ac:dyDescent="0.35">
      <c r="A398" s="66"/>
      <c r="B398" s="67"/>
      <c r="M398" s="70"/>
    </row>
    <row r="399" spans="1:13" ht="15.75" customHeight="1" x14ac:dyDescent="0.35">
      <c r="A399" s="66"/>
      <c r="B399" s="67"/>
      <c r="M399" s="70"/>
    </row>
    <row r="400" spans="1:13" ht="15.75" customHeight="1" x14ac:dyDescent="0.35">
      <c r="A400" s="66"/>
      <c r="B400" s="67"/>
      <c r="M400" s="70"/>
    </row>
    <row r="401" spans="1:13" ht="15.75" customHeight="1" x14ac:dyDescent="0.35">
      <c r="A401" s="66"/>
      <c r="B401" s="67"/>
      <c r="M401" s="70"/>
    </row>
    <row r="402" spans="1:13" ht="15.75" customHeight="1" x14ac:dyDescent="0.35">
      <c r="A402" s="66"/>
      <c r="B402" s="67"/>
      <c r="M402" s="70"/>
    </row>
    <row r="403" spans="1:13" ht="15.75" customHeight="1" x14ac:dyDescent="0.35">
      <c r="A403" s="66"/>
      <c r="B403" s="67"/>
      <c r="M403" s="70"/>
    </row>
    <row r="404" spans="1:13" ht="15.75" customHeight="1" x14ac:dyDescent="0.35">
      <c r="A404" s="66"/>
      <c r="B404" s="67"/>
      <c r="M404" s="70"/>
    </row>
    <row r="405" spans="1:13" ht="15.75" customHeight="1" x14ac:dyDescent="0.35">
      <c r="A405" s="66"/>
      <c r="B405" s="67"/>
      <c r="M405" s="70"/>
    </row>
    <row r="406" spans="1:13" ht="15.75" customHeight="1" x14ac:dyDescent="0.35">
      <c r="A406" s="66"/>
      <c r="B406" s="67"/>
      <c r="M406" s="70"/>
    </row>
    <row r="407" spans="1:13" ht="15.75" customHeight="1" x14ac:dyDescent="0.35">
      <c r="A407" s="66"/>
      <c r="B407" s="67"/>
      <c r="M407" s="70"/>
    </row>
    <row r="408" spans="1:13" ht="15.75" customHeight="1" x14ac:dyDescent="0.35">
      <c r="A408" s="66"/>
      <c r="B408" s="67"/>
      <c r="M408" s="70"/>
    </row>
    <row r="409" spans="1:13" ht="15.75" customHeight="1" x14ac:dyDescent="0.35">
      <c r="A409" s="66"/>
      <c r="B409" s="67"/>
      <c r="M409" s="70"/>
    </row>
    <row r="410" spans="1:13" ht="15.75" customHeight="1" x14ac:dyDescent="0.35">
      <c r="A410" s="66"/>
      <c r="B410" s="67"/>
      <c r="M410" s="70"/>
    </row>
    <row r="411" spans="1:13" ht="15.75" customHeight="1" x14ac:dyDescent="0.35">
      <c r="A411" s="66"/>
      <c r="B411" s="67"/>
      <c r="M411" s="70"/>
    </row>
    <row r="412" spans="1:13" ht="15.75" customHeight="1" x14ac:dyDescent="0.35">
      <c r="A412" s="66"/>
      <c r="B412" s="67"/>
      <c r="M412" s="70"/>
    </row>
    <row r="413" spans="1:13" ht="15.75" customHeight="1" x14ac:dyDescent="0.35">
      <c r="A413" s="66"/>
      <c r="B413" s="67"/>
      <c r="M413" s="70"/>
    </row>
    <row r="414" spans="1:13" ht="15.75" customHeight="1" x14ac:dyDescent="0.35">
      <c r="A414" s="66"/>
      <c r="B414" s="67"/>
      <c r="M414" s="70"/>
    </row>
    <row r="415" spans="1:13" ht="15.75" customHeight="1" x14ac:dyDescent="0.35">
      <c r="A415" s="66"/>
      <c r="B415" s="67"/>
      <c r="M415" s="70"/>
    </row>
    <row r="416" spans="1:13" ht="15.75" customHeight="1" x14ac:dyDescent="0.35">
      <c r="A416" s="66"/>
      <c r="B416" s="67"/>
      <c r="M416" s="70"/>
    </row>
    <row r="417" spans="1:13" ht="15.75" customHeight="1" x14ac:dyDescent="0.35">
      <c r="A417" s="66"/>
      <c r="B417" s="67"/>
      <c r="M417" s="70"/>
    </row>
    <row r="418" spans="1:13" ht="15.75" customHeight="1" x14ac:dyDescent="0.35">
      <c r="A418" s="66"/>
      <c r="B418" s="67"/>
      <c r="M418" s="70"/>
    </row>
    <row r="419" spans="1:13" ht="15.75" customHeight="1" x14ac:dyDescent="0.35">
      <c r="A419" s="66"/>
      <c r="B419" s="67"/>
      <c r="M419" s="70"/>
    </row>
    <row r="420" spans="1:13" ht="15.75" customHeight="1" x14ac:dyDescent="0.35">
      <c r="A420" s="66"/>
      <c r="B420" s="67"/>
      <c r="M420" s="70"/>
    </row>
    <row r="421" spans="1:13" ht="15.75" customHeight="1" x14ac:dyDescent="0.35">
      <c r="A421" s="66"/>
      <c r="B421" s="67"/>
      <c r="M421" s="70"/>
    </row>
    <row r="422" spans="1:13" ht="15.75" customHeight="1" x14ac:dyDescent="0.35">
      <c r="A422" s="66"/>
      <c r="B422" s="67"/>
      <c r="M422" s="70"/>
    </row>
    <row r="423" spans="1:13" ht="15.75" customHeight="1" x14ac:dyDescent="0.35">
      <c r="A423" s="66"/>
      <c r="B423" s="67"/>
      <c r="M423" s="70"/>
    </row>
    <row r="424" spans="1:13" ht="15.75" customHeight="1" x14ac:dyDescent="0.35">
      <c r="A424" s="66"/>
      <c r="B424" s="67"/>
      <c r="M424" s="70"/>
    </row>
    <row r="425" spans="1:13" ht="15.75" customHeight="1" x14ac:dyDescent="0.35">
      <c r="A425" s="66"/>
      <c r="B425" s="67"/>
      <c r="M425" s="70"/>
    </row>
    <row r="426" spans="1:13" ht="15.75" customHeight="1" x14ac:dyDescent="0.35">
      <c r="A426" s="66"/>
      <c r="B426" s="67"/>
      <c r="M426" s="70"/>
    </row>
    <row r="427" spans="1:13" ht="15.75" customHeight="1" x14ac:dyDescent="0.35">
      <c r="A427" s="66"/>
      <c r="B427" s="67"/>
      <c r="M427" s="70"/>
    </row>
    <row r="428" spans="1:13" ht="15.75" customHeight="1" x14ac:dyDescent="0.35">
      <c r="A428" s="66"/>
      <c r="B428" s="67"/>
      <c r="M428" s="70"/>
    </row>
    <row r="429" spans="1:13" ht="15.75" customHeight="1" x14ac:dyDescent="0.35">
      <c r="A429" s="66"/>
      <c r="B429" s="67"/>
      <c r="M429" s="70"/>
    </row>
    <row r="430" spans="1:13" ht="15.75" customHeight="1" x14ac:dyDescent="0.35">
      <c r="A430" s="66"/>
      <c r="B430" s="67"/>
      <c r="M430" s="70"/>
    </row>
    <row r="431" spans="1:13" ht="15.75" customHeight="1" x14ac:dyDescent="0.35">
      <c r="A431" s="66"/>
      <c r="B431" s="67"/>
      <c r="M431" s="70"/>
    </row>
    <row r="432" spans="1:13" ht="15.75" customHeight="1" x14ac:dyDescent="0.35">
      <c r="A432" s="66"/>
      <c r="B432" s="67"/>
      <c r="M432" s="70"/>
    </row>
    <row r="433" spans="1:13" ht="15.75" customHeight="1" x14ac:dyDescent="0.35">
      <c r="A433" s="66"/>
      <c r="B433" s="67"/>
      <c r="M433" s="70"/>
    </row>
    <row r="434" spans="1:13" ht="15.75" customHeight="1" x14ac:dyDescent="0.35">
      <c r="A434" s="66"/>
      <c r="B434" s="67"/>
      <c r="M434" s="70"/>
    </row>
    <row r="435" spans="1:13" ht="15.75" customHeight="1" x14ac:dyDescent="0.35">
      <c r="A435" s="66"/>
      <c r="B435" s="67"/>
      <c r="M435" s="70"/>
    </row>
    <row r="436" spans="1:13" ht="15.75" customHeight="1" x14ac:dyDescent="0.35">
      <c r="A436" s="66"/>
      <c r="B436" s="67"/>
      <c r="M436" s="70"/>
    </row>
    <row r="437" spans="1:13" ht="15.75" customHeight="1" x14ac:dyDescent="0.35">
      <c r="A437" s="66"/>
      <c r="B437" s="67"/>
      <c r="M437" s="70"/>
    </row>
    <row r="438" spans="1:13" ht="15.75" customHeight="1" x14ac:dyDescent="0.35">
      <c r="A438" s="66"/>
      <c r="B438" s="67"/>
      <c r="M438" s="70"/>
    </row>
    <row r="439" spans="1:13" ht="15.75" customHeight="1" x14ac:dyDescent="0.35">
      <c r="A439" s="66"/>
      <c r="B439" s="67"/>
      <c r="M439" s="70"/>
    </row>
    <row r="440" spans="1:13" ht="15.75" customHeight="1" x14ac:dyDescent="0.35">
      <c r="A440" s="66"/>
      <c r="B440" s="67"/>
      <c r="M440" s="70"/>
    </row>
    <row r="441" spans="1:13" ht="15.75" customHeight="1" x14ac:dyDescent="0.35">
      <c r="A441" s="66"/>
      <c r="B441" s="67"/>
      <c r="M441" s="70"/>
    </row>
    <row r="442" spans="1:13" ht="15.75" customHeight="1" x14ac:dyDescent="0.35">
      <c r="A442" s="66"/>
      <c r="B442" s="67"/>
      <c r="M442" s="70"/>
    </row>
    <row r="443" spans="1:13" ht="15.75" customHeight="1" x14ac:dyDescent="0.35">
      <c r="A443" s="66"/>
      <c r="B443" s="67"/>
      <c r="M443" s="70"/>
    </row>
    <row r="444" spans="1:13" ht="15.75" customHeight="1" x14ac:dyDescent="0.35">
      <c r="A444" s="66"/>
      <c r="B444" s="67"/>
      <c r="M444" s="70"/>
    </row>
    <row r="445" spans="1:13" ht="15.75" customHeight="1" x14ac:dyDescent="0.35">
      <c r="A445" s="66"/>
      <c r="B445" s="67"/>
      <c r="M445" s="70"/>
    </row>
    <row r="446" spans="1:13" ht="15.75" customHeight="1" x14ac:dyDescent="0.35">
      <c r="A446" s="66"/>
      <c r="B446" s="67"/>
      <c r="M446" s="70"/>
    </row>
    <row r="447" spans="1:13" ht="15.75" customHeight="1" x14ac:dyDescent="0.35">
      <c r="A447" s="66"/>
      <c r="B447" s="67"/>
      <c r="M447" s="70"/>
    </row>
    <row r="448" spans="1:13" ht="15.75" customHeight="1" x14ac:dyDescent="0.35">
      <c r="A448" s="66"/>
      <c r="B448" s="67"/>
      <c r="M448" s="70"/>
    </row>
    <row r="449" spans="1:13" ht="15.75" customHeight="1" x14ac:dyDescent="0.35">
      <c r="A449" s="66"/>
      <c r="B449" s="67"/>
      <c r="M449" s="70"/>
    </row>
    <row r="450" spans="1:13" ht="15.75" customHeight="1" x14ac:dyDescent="0.35">
      <c r="A450" s="66"/>
      <c r="B450" s="67"/>
      <c r="M450" s="70"/>
    </row>
    <row r="451" spans="1:13" ht="15.75" customHeight="1" x14ac:dyDescent="0.35">
      <c r="A451" s="66"/>
      <c r="B451" s="67"/>
      <c r="M451" s="70"/>
    </row>
    <row r="452" spans="1:13" ht="15.75" customHeight="1" x14ac:dyDescent="0.35">
      <c r="A452" s="66"/>
      <c r="B452" s="67"/>
      <c r="M452" s="70"/>
    </row>
    <row r="453" spans="1:13" ht="15.75" customHeight="1" x14ac:dyDescent="0.35">
      <c r="A453" s="66"/>
      <c r="B453" s="67"/>
      <c r="M453" s="70"/>
    </row>
    <row r="454" spans="1:13" ht="15.75" customHeight="1" x14ac:dyDescent="0.35">
      <c r="A454" s="66"/>
      <c r="B454" s="67"/>
      <c r="M454" s="70"/>
    </row>
    <row r="455" spans="1:13" ht="15.75" customHeight="1" x14ac:dyDescent="0.35">
      <c r="A455" s="66"/>
      <c r="B455" s="67"/>
      <c r="M455" s="70"/>
    </row>
    <row r="456" spans="1:13" ht="15.75" customHeight="1" x14ac:dyDescent="0.35">
      <c r="A456" s="66"/>
      <c r="B456" s="67"/>
      <c r="M456" s="70"/>
    </row>
    <row r="457" spans="1:13" ht="15.75" customHeight="1" x14ac:dyDescent="0.35">
      <c r="A457" s="66"/>
      <c r="B457" s="67"/>
      <c r="M457" s="70"/>
    </row>
    <row r="458" spans="1:13" ht="15.75" customHeight="1" x14ac:dyDescent="0.35">
      <c r="A458" s="66"/>
      <c r="B458" s="67"/>
      <c r="M458" s="70"/>
    </row>
    <row r="459" spans="1:13" ht="15.75" customHeight="1" x14ac:dyDescent="0.35">
      <c r="A459" s="66"/>
      <c r="B459" s="67"/>
      <c r="M459" s="70"/>
    </row>
    <row r="460" spans="1:13" ht="15.75" customHeight="1" x14ac:dyDescent="0.35">
      <c r="A460" s="66"/>
      <c r="B460" s="67"/>
      <c r="M460" s="70"/>
    </row>
    <row r="461" spans="1:13" ht="15.75" customHeight="1" x14ac:dyDescent="0.35">
      <c r="A461" s="66"/>
      <c r="B461" s="67"/>
      <c r="M461" s="70"/>
    </row>
    <row r="462" spans="1:13" ht="15.75" customHeight="1" x14ac:dyDescent="0.35">
      <c r="A462" s="66"/>
      <c r="B462" s="67"/>
      <c r="M462" s="70"/>
    </row>
    <row r="463" spans="1:13" ht="15.75" customHeight="1" x14ac:dyDescent="0.35">
      <c r="A463" s="66"/>
      <c r="B463" s="67"/>
      <c r="M463" s="70"/>
    </row>
    <row r="464" spans="1:13" ht="15.75" customHeight="1" x14ac:dyDescent="0.35">
      <c r="A464" s="66"/>
      <c r="B464" s="67"/>
      <c r="M464" s="70"/>
    </row>
    <row r="465" spans="1:13" ht="15.75" customHeight="1" x14ac:dyDescent="0.35">
      <c r="A465" s="66"/>
      <c r="B465" s="67"/>
      <c r="M465" s="70"/>
    </row>
    <row r="466" spans="1:13" ht="15.75" customHeight="1" x14ac:dyDescent="0.35">
      <c r="A466" s="66"/>
      <c r="B466" s="67"/>
      <c r="M466" s="70"/>
    </row>
    <row r="467" spans="1:13" ht="15.75" customHeight="1" x14ac:dyDescent="0.35">
      <c r="A467" s="66"/>
      <c r="B467" s="67"/>
      <c r="M467" s="70"/>
    </row>
    <row r="468" spans="1:13" ht="15.75" customHeight="1" x14ac:dyDescent="0.35">
      <c r="A468" s="66"/>
      <c r="B468" s="67"/>
      <c r="M468" s="70"/>
    </row>
    <row r="469" spans="1:13" ht="15.75" customHeight="1" x14ac:dyDescent="0.35">
      <c r="A469" s="66"/>
      <c r="B469" s="67"/>
      <c r="M469" s="70"/>
    </row>
    <row r="470" spans="1:13" ht="15.75" customHeight="1" x14ac:dyDescent="0.35">
      <c r="A470" s="66"/>
      <c r="B470" s="67"/>
      <c r="M470" s="70"/>
    </row>
    <row r="471" spans="1:13" ht="15.75" customHeight="1" x14ac:dyDescent="0.35">
      <c r="A471" s="66"/>
      <c r="B471" s="67"/>
      <c r="M471" s="70"/>
    </row>
    <row r="472" spans="1:13" ht="15.75" customHeight="1" x14ac:dyDescent="0.35">
      <c r="A472" s="66"/>
      <c r="B472" s="67"/>
      <c r="M472" s="70"/>
    </row>
    <row r="473" spans="1:13" ht="15.75" customHeight="1" x14ac:dyDescent="0.35">
      <c r="A473" s="66"/>
      <c r="B473" s="67"/>
      <c r="M473" s="70"/>
    </row>
    <row r="474" spans="1:13" ht="15.75" customHeight="1" x14ac:dyDescent="0.35">
      <c r="A474" s="66"/>
      <c r="B474" s="67"/>
      <c r="M474" s="70"/>
    </row>
    <row r="475" spans="1:13" ht="15.75" customHeight="1" x14ac:dyDescent="0.35">
      <c r="A475" s="66"/>
      <c r="B475" s="67"/>
      <c r="M475" s="70"/>
    </row>
    <row r="476" spans="1:13" ht="15.75" customHeight="1" x14ac:dyDescent="0.35">
      <c r="A476" s="66"/>
      <c r="B476" s="67"/>
      <c r="M476" s="70"/>
    </row>
    <row r="477" spans="1:13" ht="15.75" customHeight="1" x14ac:dyDescent="0.35">
      <c r="A477" s="66"/>
      <c r="B477" s="67"/>
      <c r="M477" s="70"/>
    </row>
    <row r="478" spans="1:13" ht="15.75" customHeight="1" x14ac:dyDescent="0.35">
      <c r="A478" s="66"/>
      <c r="B478" s="67"/>
      <c r="M478" s="70"/>
    </row>
    <row r="479" spans="1:13" ht="15.75" customHeight="1" x14ac:dyDescent="0.35">
      <c r="A479" s="66"/>
      <c r="B479" s="67"/>
      <c r="M479" s="70"/>
    </row>
    <row r="480" spans="1:13" ht="15.75" customHeight="1" x14ac:dyDescent="0.35">
      <c r="A480" s="66"/>
      <c r="B480" s="67"/>
      <c r="M480" s="70"/>
    </row>
    <row r="481" spans="1:13" ht="15.75" customHeight="1" x14ac:dyDescent="0.35">
      <c r="A481" s="66"/>
      <c r="B481" s="67"/>
      <c r="M481" s="70"/>
    </row>
    <row r="482" spans="1:13" ht="15.75" customHeight="1" x14ac:dyDescent="0.35">
      <c r="A482" s="66"/>
      <c r="B482" s="67"/>
      <c r="M482" s="70"/>
    </row>
    <row r="483" spans="1:13" ht="15.75" customHeight="1" x14ac:dyDescent="0.35">
      <c r="A483" s="66"/>
      <c r="B483" s="67"/>
      <c r="M483" s="70"/>
    </row>
    <row r="484" spans="1:13" ht="15.75" customHeight="1" x14ac:dyDescent="0.35">
      <c r="A484" s="66"/>
      <c r="B484" s="67"/>
      <c r="M484" s="70"/>
    </row>
    <row r="485" spans="1:13" ht="15.75" customHeight="1" x14ac:dyDescent="0.35">
      <c r="A485" s="66"/>
      <c r="B485" s="67"/>
      <c r="M485" s="70"/>
    </row>
    <row r="486" spans="1:13" ht="15.75" customHeight="1" x14ac:dyDescent="0.35">
      <c r="A486" s="66"/>
      <c r="B486" s="67"/>
      <c r="M486" s="70"/>
    </row>
    <row r="487" spans="1:13" ht="15.75" customHeight="1" x14ac:dyDescent="0.35">
      <c r="A487" s="66"/>
      <c r="B487" s="67"/>
      <c r="M487" s="70"/>
    </row>
    <row r="488" spans="1:13" ht="15.75" customHeight="1" x14ac:dyDescent="0.35">
      <c r="A488" s="66"/>
      <c r="B488" s="67"/>
      <c r="M488" s="70"/>
    </row>
    <row r="489" spans="1:13" ht="15.75" customHeight="1" x14ac:dyDescent="0.35">
      <c r="A489" s="66"/>
      <c r="B489" s="67"/>
      <c r="M489" s="70"/>
    </row>
    <row r="490" spans="1:13" ht="15.75" customHeight="1" x14ac:dyDescent="0.35">
      <c r="A490" s="66"/>
      <c r="B490" s="67"/>
      <c r="M490" s="70"/>
    </row>
    <row r="491" spans="1:13" ht="15.75" customHeight="1" x14ac:dyDescent="0.35">
      <c r="A491" s="66"/>
      <c r="B491" s="67"/>
      <c r="M491" s="70"/>
    </row>
    <row r="492" spans="1:13" ht="15.75" customHeight="1" x14ac:dyDescent="0.35">
      <c r="A492" s="66"/>
      <c r="B492" s="67"/>
      <c r="M492" s="70"/>
    </row>
    <row r="493" spans="1:13" ht="15.75" customHeight="1" x14ac:dyDescent="0.35">
      <c r="A493" s="66"/>
      <c r="B493" s="67"/>
      <c r="M493" s="70"/>
    </row>
    <row r="494" spans="1:13" ht="15.75" customHeight="1" x14ac:dyDescent="0.35">
      <c r="A494" s="66"/>
      <c r="B494" s="67"/>
      <c r="M494" s="70"/>
    </row>
    <row r="495" spans="1:13" ht="15.75" customHeight="1" x14ac:dyDescent="0.35">
      <c r="A495" s="66"/>
      <c r="B495" s="67"/>
      <c r="M495" s="70"/>
    </row>
    <row r="496" spans="1:13" ht="15.75" customHeight="1" x14ac:dyDescent="0.35">
      <c r="A496" s="66"/>
      <c r="B496" s="67"/>
      <c r="M496" s="70"/>
    </row>
    <row r="497" spans="1:13" ht="15.75" customHeight="1" x14ac:dyDescent="0.35">
      <c r="A497" s="66"/>
      <c r="B497" s="67"/>
      <c r="M497" s="70"/>
    </row>
    <row r="498" spans="1:13" ht="15.75" customHeight="1" x14ac:dyDescent="0.35">
      <c r="A498" s="66"/>
      <c r="B498" s="67"/>
      <c r="M498" s="70"/>
    </row>
    <row r="499" spans="1:13" ht="15.75" customHeight="1" x14ac:dyDescent="0.35">
      <c r="A499" s="66"/>
      <c r="B499" s="67"/>
      <c r="M499" s="70"/>
    </row>
    <row r="500" spans="1:13" ht="15.75" customHeight="1" x14ac:dyDescent="0.35">
      <c r="A500" s="66"/>
      <c r="B500" s="67"/>
      <c r="M500" s="70"/>
    </row>
    <row r="501" spans="1:13" ht="15.75" customHeight="1" x14ac:dyDescent="0.35">
      <c r="A501" s="66"/>
      <c r="B501" s="67"/>
      <c r="M501" s="70"/>
    </row>
    <row r="502" spans="1:13" ht="15.75" customHeight="1" x14ac:dyDescent="0.35">
      <c r="A502" s="66"/>
      <c r="B502" s="67"/>
      <c r="M502" s="70"/>
    </row>
    <row r="503" spans="1:13" ht="15.75" customHeight="1" x14ac:dyDescent="0.35">
      <c r="A503" s="66"/>
      <c r="B503" s="67"/>
      <c r="M503" s="70"/>
    </row>
    <row r="504" spans="1:13" ht="15.75" customHeight="1" x14ac:dyDescent="0.35">
      <c r="A504" s="66"/>
      <c r="B504" s="67"/>
      <c r="M504" s="70"/>
    </row>
    <row r="505" spans="1:13" ht="15.75" customHeight="1" x14ac:dyDescent="0.35">
      <c r="A505" s="66"/>
      <c r="B505" s="67"/>
      <c r="M505" s="70"/>
    </row>
    <row r="506" spans="1:13" ht="15.75" customHeight="1" x14ac:dyDescent="0.35">
      <c r="A506" s="66"/>
      <c r="B506" s="67"/>
      <c r="M506" s="70"/>
    </row>
    <row r="507" spans="1:13" ht="15.75" customHeight="1" x14ac:dyDescent="0.35">
      <c r="A507" s="66"/>
      <c r="B507" s="67"/>
      <c r="M507" s="70"/>
    </row>
    <row r="508" spans="1:13" ht="15.75" customHeight="1" x14ac:dyDescent="0.35">
      <c r="A508" s="66"/>
      <c r="B508" s="67"/>
      <c r="M508" s="70"/>
    </row>
    <row r="509" spans="1:13" ht="15.75" customHeight="1" x14ac:dyDescent="0.35">
      <c r="A509" s="66"/>
      <c r="B509" s="67"/>
      <c r="M509" s="70"/>
    </row>
    <row r="510" spans="1:13" ht="15.75" customHeight="1" x14ac:dyDescent="0.35">
      <c r="A510" s="66"/>
      <c r="B510" s="67"/>
      <c r="M510" s="70"/>
    </row>
    <row r="511" spans="1:13" ht="15.75" customHeight="1" x14ac:dyDescent="0.35">
      <c r="A511" s="66"/>
      <c r="B511" s="67"/>
      <c r="M511" s="70"/>
    </row>
    <row r="512" spans="1:13" ht="15.75" customHeight="1" x14ac:dyDescent="0.35">
      <c r="A512" s="66"/>
      <c r="B512" s="67"/>
      <c r="M512" s="70"/>
    </row>
    <row r="513" spans="1:13" ht="15.75" customHeight="1" x14ac:dyDescent="0.35">
      <c r="A513" s="66"/>
      <c r="B513" s="67"/>
      <c r="M513" s="70"/>
    </row>
    <row r="514" spans="1:13" ht="15.75" customHeight="1" x14ac:dyDescent="0.35">
      <c r="A514" s="66"/>
      <c r="B514" s="67"/>
      <c r="M514" s="70"/>
    </row>
    <row r="515" spans="1:13" ht="15.75" customHeight="1" x14ac:dyDescent="0.35">
      <c r="A515" s="66"/>
      <c r="B515" s="67"/>
      <c r="M515" s="70"/>
    </row>
    <row r="516" spans="1:13" ht="15.75" customHeight="1" x14ac:dyDescent="0.35">
      <c r="A516" s="66"/>
      <c r="B516" s="67"/>
      <c r="M516" s="70"/>
    </row>
    <row r="517" spans="1:13" ht="15.75" customHeight="1" x14ac:dyDescent="0.35">
      <c r="A517" s="66"/>
      <c r="B517" s="67"/>
      <c r="M517" s="70"/>
    </row>
    <row r="518" spans="1:13" ht="15.75" customHeight="1" x14ac:dyDescent="0.35">
      <c r="A518" s="66"/>
      <c r="B518" s="67"/>
      <c r="M518" s="70"/>
    </row>
    <row r="519" spans="1:13" ht="15.75" customHeight="1" x14ac:dyDescent="0.35">
      <c r="A519" s="66"/>
      <c r="B519" s="67"/>
      <c r="M519" s="70"/>
    </row>
    <row r="520" spans="1:13" ht="15.75" customHeight="1" x14ac:dyDescent="0.35">
      <c r="A520" s="66"/>
      <c r="B520" s="67"/>
      <c r="M520" s="70"/>
    </row>
    <row r="521" spans="1:13" ht="15.75" customHeight="1" x14ac:dyDescent="0.35">
      <c r="A521" s="66"/>
      <c r="B521" s="67"/>
      <c r="M521" s="70"/>
    </row>
    <row r="522" spans="1:13" ht="15.75" customHeight="1" x14ac:dyDescent="0.35">
      <c r="A522" s="66"/>
      <c r="B522" s="67"/>
      <c r="M522" s="70"/>
    </row>
    <row r="523" spans="1:13" ht="15.75" customHeight="1" x14ac:dyDescent="0.35">
      <c r="A523" s="66"/>
      <c r="B523" s="67"/>
      <c r="M523" s="70"/>
    </row>
    <row r="524" spans="1:13" ht="15.75" customHeight="1" x14ac:dyDescent="0.35">
      <c r="A524" s="66"/>
      <c r="B524" s="67"/>
      <c r="M524" s="70"/>
    </row>
    <row r="525" spans="1:13" ht="15.75" customHeight="1" x14ac:dyDescent="0.35">
      <c r="A525" s="66"/>
      <c r="B525" s="67"/>
      <c r="M525" s="70"/>
    </row>
    <row r="526" spans="1:13" ht="15.75" customHeight="1" x14ac:dyDescent="0.35">
      <c r="A526" s="66"/>
      <c r="B526" s="67"/>
      <c r="M526" s="70"/>
    </row>
    <row r="527" spans="1:13" ht="15.75" customHeight="1" x14ac:dyDescent="0.35">
      <c r="A527" s="66"/>
      <c r="B527" s="67"/>
      <c r="M527" s="70"/>
    </row>
    <row r="528" spans="1:13" ht="15.75" customHeight="1" x14ac:dyDescent="0.35">
      <c r="A528" s="66"/>
      <c r="B528" s="67"/>
      <c r="M528" s="70"/>
    </row>
    <row r="529" spans="1:13" ht="15.75" customHeight="1" x14ac:dyDescent="0.35">
      <c r="A529" s="66"/>
      <c r="B529" s="67"/>
      <c r="M529" s="70"/>
    </row>
    <row r="530" spans="1:13" ht="15.75" customHeight="1" x14ac:dyDescent="0.35">
      <c r="A530" s="66"/>
      <c r="B530" s="67"/>
      <c r="M530" s="70"/>
    </row>
    <row r="531" spans="1:13" ht="15.75" customHeight="1" x14ac:dyDescent="0.35">
      <c r="A531" s="66"/>
      <c r="B531" s="67"/>
      <c r="M531" s="70"/>
    </row>
    <row r="532" spans="1:13" ht="15.75" customHeight="1" x14ac:dyDescent="0.35">
      <c r="A532" s="66"/>
      <c r="B532" s="67"/>
      <c r="M532" s="70"/>
    </row>
    <row r="533" spans="1:13" ht="15.75" customHeight="1" x14ac:dyDescent="0.35">
      <c r="A533" s="66"/>
      <c r="B533" s="67"/>
      <c r="M533" s="70"/>
    </row>
    <row r="534" spans="1:13" ht="15.75" customHeight="1" x14ac:dyDescent="0.35">
      <c r="A534" s="66"/>
      <c r="B534" s="67"/>
      <c r="M534" s="70"/>
    </row>
    <row r="535" spans="1:13" ht="15.75" customHeight="1" x14ac:dyDescent="0.35">
      <c r="A535" s="66"/>
      <c r="B535" s="67"/>
      <c r="M535" s="70"/>
    </row>
    <row r="536" spans="1:13" ht="15.75" customHeight="1" x14ac:dyDescent="0.35">
      <c r="A536" s="66"/>
      <c r="B536" s="67"/>
      <c r="M536" s="70"/>
    </row>
    <row r="537" spans="1:13" ht="15.75" customHeight="1" x14ac:dyDescent="0.35">
      <c r="A537" s="66"/>
      <c r="B537" s="67"/>
      <c r="M537" s="70"/>
    </row>
    <row r="538" spans="1:13" ht="15.75" customHeight="1" x14ac:dyDescent="0.35">
      <c r="A538" s="66"/>
      <c r="B538" s="67"/>
      <c r="M538" s="70"/>
    </row>
    <row r="539" spans="1:13" ht="15.75" customHeight="1" x14ac:dyDescent="0.35">
      <c r="A539" s="66"/>
      <c r="B539" s="67"/>
      <c r="M539" s="70"/>
    </row>
    <row r="540" spans="1:13" ht="15.75" customHeight="1" x14ac:dyDescent="0.35">
      <c r="A540" s="66"/>
      <c r="B540" s="67"/>
      <c r="M540" s="70"/>
    </row>
    <row r="541" spans="1:13" ht="15.75" customHeight="1" x14ac:dyDescent="0.35">
      <c r="A541" s="66"/>
      <c r="B541" s="67"/>
      <c r="M541" s="70"/>
    </row>
    <row r="542" spans="1:13" ht="15.75" customHeight="1" x14ac:dyDescent="0.35">
      <c r="A542" s="66"/>
      <c r="B542" s="67"/>
      <c r="M542" s="70"/>
    </row>
    <row r="543" spans="1:13" ht="15.75" customHeight="1" x14ac:dyDescent="0.35">
      <c r="A543" s="66"/>
      <c r="B543" s="67"/>
      <c r="M543" s="70"/>
    </row>
    <row r="544" spans="1:13" ht="15.75" customHeight="1" x14ac:dyDescent="0.35">
      <c r="A544" s="66"/>
      <c r="B544" s="67"/>
      <c r="M544" s="70"/>
    </row>
    <row r="545" spans="1:13" ht="15.75" customHeight="1" x14ac:dyDescent="0.35">
      <c r="A545" s="66"/>
      <c r="B545" s="67"/>
      <c r="M545" s="70"/>
    </row>
    <row r="546" spans="1:13" ht="15.75" customHeight="1" x14ac:dyDescent="0.35">
      <c r="A546" s="66"/>
      <c r="B546" s="67"/>
      <c r="M546" s="70"/>
    </row>
    <row r="547" spans="1:13" ht="15.75" customHeight="1" x14ac:dyDescent="0.35">
      <c r="A547" s="66"/>
      <c r="B547" s="67"/>
      <c r="M547" s="70"/>
    </row>
    <row r="548" spans="1:13" ht="15.75" customHeight="1" x14ac:dyDescent="0.35">
      <c r="A548" s="66"/>
      <c r="B548" s="67"/>
      <c r="M548" s="70"/>
    </row>
    <row r="549" spans="1:13" ht="15.75" customHeight="1" x14ac:dyDescent="0.35">
      <c r="A549" s="66"/>
      <c r="B549" s="67"/>
      <c r="M549" s="70"/>
    </row>
    <row r="550" spans="1:13" ht="15.75" customHeight="1" x14ac:dyDescent="0.35">
      <c r="A550" s="66"/>
      <c r="B550" s="67"/>
      <c r="M550" s="70"/>
    </row>
    <row r="551" spans="1:13" ht="15.75" customHeight="1" x14ac:dyDescent="0.35">
      <c r="A551" s="66"/>
      <c r="B551" s="67"/>
      <c r="M551" s="70"/>
    </row>
    <row r="552" spans="1:13" ht="15.75" customHeight="1" x14ac:dyDescent="0.35">
      <c r="A552" s="66"/>
      <c r="B552" s="67"/>
      <c r="M552" s="70"/>
    </row>
    <row r="553" spans="1:13" ht="15.75" customHeight="1" x14ac:dyDescent="0.35">
      <c r="A553" s="66"/>
      <c r="B553" s="67"/>
      <c r="M553" s="70"/>
    </row>
    <row r="554" spans="1:13" ht="15.75" customHeight="1" x14ac:dyDescent="0.35">
      <c r="A554" s="66"/>
      <c r="B554" s="67"/>
      <c r="M554" s="70"/>
    </row>
    <row r="555" spans="1:13" ht="15.75" customHeight="1" x14ac:dyDescent="0.35">
      <c r="A555" s="66"/>
      <c r="B555" s="67"/>
      <c r="M555" s="70"/>
    </row>
    <row r="556" spans="1:13" ht="15.75" customHeight="1" x14ac:dyDescent="0.35">
      <c r="A556" s="66"/>
      <c r="B556" s="67"/>
      <c r="M556" s="70"/>
    </row>
    <row r="557" spans="1:13" ht="15.75" customHeight="1" x14ac:dyDescent="0.35">
      <c r="A557" s="66"/>
      <c r="B557" s="67"/>
      <c r="M557" s="70"/>
    </row>
    <row r="558" spans="1:13" ht="15.75" customHeight="1" x14ac:dyDescent="0.35">
      <c r="A558" s="66"/>
      <c r="B558" s="67"/>
      <c r="M558" s="70"/>
    </row>
    <row r="559" spans="1:13" ht="15.75" customHeight="1" x14ac:dyDescent="0.35">
      <c r="A559" s="66"/>
      <c r="B559" s="67"/>
      <c r="M559" s="70"/>
    </row>
    <row r="560" spans="1:13" ht="15.75" customHeight="1" x14ac:dyDescent="0.35">
      <c r="A560" s="66"/>
      <c r="B560" s="67"/>
      <c r="M560" s="70"/>
    </row>
    <row r="561" spans="1:13" ht="15.75" customHeight="1" x14ac:dyDescent="0.35">
      <c r="A561" s="66"/>
      <c r="B561" s="67"/>
      <c r="M561" s="70"/>
    </row>
    <row r="562" spans="1:13" ht="15.75" customHeight="1" x14ac:dyDescent="0.35">
      <c r="A562" s="66"/>
      <c r="B562" s="67"/>
      <c r="M562" s="70"/>
    </row>
    <row r="563" spans="1:13" ht="15.75" customHeight="1" x14ac:dyDescent="0.35">
      <c r="A563" s="66"/>
      <c r="B563" s="67"/>
      <c r="M563" s="70"/>
    </row>
    <row r="564" spans="1:13" ht="15.75" customHeight="1" x14ac:dyDescent="0.35">
      <c r="A564" s="66"/>
      <c r="B564" s="67"/>
      <c r="M564" s="70"/>
    </row>
    <row r="565" spans="1:13" ht="15.75" customHeight="1" x14ac:dyDescent="0.35">
      <c r="A565" s="66"/>
      <c r="B565" s="67"/>
      <c r="M565" s="70"/>
    </row>
    <row r="566" spans="1:13" ht="15.75" customHeight="1" x14ac:dyDescent="0.35">
      <c r="A566" s="66"/>
      <c r="B566" s="67"/>
      <c r="M566" s="70"/>
    </row>
    <row r="567" spans="1:13" ht="15.75" customHeight="1" x14ac:dyDescent="0.35">
      <c r="A567" s="66"/>
      <c r="B567" s="67"/>
      <c r="M567" s="70"/>
    </row>
    <row r="568" spans="1:13" ht="15.75" customHeight="1" x14ac:dyDescent="0.35">
      <c r="A568" s="66"/>
      <c r="B568" s="67"/>
      <c r="M568" s="70"/>
    </row>
    <row r="569" spans="1:13" ht="15.75" customHeight="1" x14ac:dyDescent="0.35">
      <c r="A569" s="66"/>
      <c r="B569" s="67"/>
      <c r="M569" s="70"/>
    </row>
    <row r="570" spans="1:13" ht="15.75" customHeight="1" x14ac:dyDescent="0.35">
      <c r="A570" s="66"/>
      <c r="B570" s="67"/>
      <c r="M570" s="70"/>
    </row>
    <row r="571" spans="1:13" ht="15.75" customHeight="1" x14ac:dyDescent="0.35">
      <c r="A571" s="66"/>
      <c r="B571" s="67"/>
      <c r="M571" s="70"/>
    </row>
    <row r="572" spans="1:13" ht="15.75" customHeight="1" x14ac:dyDescent="0.35">
      <c r="A572" s="66"/>
      <c r="B572" s="67"/>
      <c r="M572" s="70"/>
    </row>
    <row r="573" spans="1:13" ht="15.75" customHeight="1" x14ac:dyDescent="0.35">
      <c r="A573" s="66"/>
      <c r="B573" s="67"/>
      <c r="M573" s="70"/>
    </row>
    <row r="574" spans="1:13" ht="15.75" customHeight="1" x14ac:dyDescent="0.35">
      <c r="A574" s="66"/>
      <c r="B574" s="67"/>
      <c r="M574" s="70"/>
    </row>
    <row r="575" spans="1:13" ht="15.75" customHeight="1" x14ac:dyDescent="0.35">
      <c r="A575" s="66"/>
      <c r="B575" s="67"/>
      <c r="M575" s="70"/>
    </row>
    <row r="576" spans="1:13" ht="15.75" customHeight="1" x14ac:dyDescent="0.35">
      <c r="A576" s="66"/>
      <c r="B576" s="67"/>
      <c r="M576" s="70"/>
    </row>
    <row r="577" spans="1:13" ht="15.75" customHeight="1" x14ac:dyDescent="0.35">
      <c r="A577" s="66"/>
      <c r="B577" s="67"/>
      <c r="M577" s="70"/>
    </row>
    <row r="578" spans="1:13" ht="15.75" customHeight="1" x14ac:dyDescent="0.35">
      <c r="A578" s="66"/>
      <c r="B578" s="67"/>
      <c r="M578" s="70"/>
    </row>
    <row r="579" spans="1:13" ht="15.75" customHeight="1" x14ac:dyDescent="0.35">
      <c r="A579" s="66"/>
      <c r="B579" s="67"/>
      <c r="M579" s="70"/>
    </row>
    <row r="580" spans="1:13" ht="15.75" customHeight="1" x14ac:dyDescent="0.35">
      <c r="A580" s="66"/>
      <c r="B580" s="67"/>
      <c r="M580" s="70"/>
    </row>
    <row r="581" spans="1:13" ht="15.75" customHeight="1" x14ac:dyDescent="0.35">
      <c r="A581" s="66"/>
      <c r="B581" s="67"/>
      <c r="M581" s="70"/>
    </row>
    <row r="582" spans="1:13" ht="15.75" customHeight="1" x14ac:dyDescent="0.35">
      <c r="A582" s="66"/>
      <c r="B582" s="67"/>
      <c r="M582" s="70"/>
    </row>
    <row r="583" spans="1:13" ht="15.75" customHeight="1" x14ac:dyDescent="0.35">
      <c r="A583" s="66"/>
      <c r="B583" s="67"/>
      <c r="M583" s="70"/>
    </row>
    <row r="584" spans="1:13" ht="15.75" customHeight="1" x14ac:dyDescent="0.35">
      <c r="A584" s="66"/>
      <c r="B584" s="67"/>
      <c r="M584" s="70"/>
    </row>
    <row r="585" spans="1:13" ht="15.75" customHeight="1" x14ac:dyDescent="0.35">
      <c r="A585" s="66"/>
      <c r="B585" s="67"/>
      <c r="M585" s="70"/>
    </row>
    <row r="586" spans="1:13" ht="15.75" customHeight="1" x14ac:dyDescent="0.35">
      <c r="A586" s="66"/>
      <c r="B586" s="67"/>
      <c r="M586" s="70"/>
    </row>
    <row r="587" spans="1:13" ht="15.75" customHeight="1" x14ac:dyDescent="0.35">
      <c r="A587" s="66"/>
      <c r="B587" s="67"/>
      <c r="M587" s="70"/>
    </row>
    <row r="588" spans="1:13" ht="15.75" customHeight="1" x14ac:dyDescent="0.35">
      <c r="A588" s="66"/>
      <c r="B588" s="67"/>
      <c r="M588" s="70"/>
    </row>
    <row r="589" spans="1:13" ht="15.75" customHeight="1" x14ac:dyDescent="0.35">
      <c r="A589" s="66"/>
      <c r="B589" s="67"/>
      <c r="M589" s="70"/>
    </row>
    <row r="590" spans="1:13" ht="15.75" customHeight="1" x14ac:dyDescent="0.35">
      <c r="A590" s="66"/>
      <c r="B590" s="67"/>
      <c r="M590" s="70"/>
    </row>
    <row r="591" spans="1:13" ht="15.75" customHeight="1" x14ac:dyDescent="0.35">
      <c r="A591" s="66"/>
      <c r="B591" s="67"/>
      <c r="M591" s="70"/>
    </row>
    <row r="592" spans="1:13" ht="15.75" customHeight="1" x14ac:dyDescent="0.35">
      <c r="A592" s="66"/>
      <c r="B592" s="67"/>
      <c r="M592" s="70"/>
    </row>
    <row r="593" spans="1:13" ht="15.75" customHeight="1" x14ac:dyDescent="0.35">
      <c r="A593" s="66"/>
      <c r="B593" s="67"/>
      <c r="M593" s="70"/>
    </row>
    <row r="594" spans="1:13" ht="15.75" customHeight="1" x14ac:dyDescent="0.35">
      <c r="A594" s="66"/>
      <c r="B594" s="67"/>
      <c r="M594" s="70"/>
    </row>
    <row r="595" spans="1:13" ht="15.75" customHeight="1" x14ac:dyDescent="0.35">
      <c r="A595" s="66"/>
      <c r="B595" s="67"/>
      <c r="M595" s="70"/>
    </row>
    <row r="596" spans="1:13" ht="15.75" customHeight="1" x14ac:dyDescent="0.35">
      <c r="A596" s="66"/>
      <c r="B596" s="67"/>
      <c r="M596" s="70"/>
    </row>
    <row r="597" spans="1:13" ht="15.75" customHeight="1" x14ac:dyDescent="0.35">
      <c r="A597" s="66"/>
      <c r="B597" s="67"/>
      <c r="M597" s="70"/>
    </row>
    <row r="598" spans="1:13" ht="15.75" customHeight="1" x14ac:dyDescent="0.35">
      <c r="A598" s="66"/>
      <c r="B598" s="67"/>
      <c r="M598" s="70"/>
    </row>
    <row r="599" spans="1:13" ht="15.75" customHeight="1" x14ac:dyDescent="0.35">
      <c r="A599" s="66"/>
      <c r="B599" s="67"/>
      <c r="M599" s="70"/>
    </row>
    <row r="600" spans="1:13" ht="15.75" customHeight="1" x14ac:dyDescent="0.35">
      <c r="A600" s="66"/>
      <c r="B600" s="67"/>
      <c r="M600" s="70"/>
    </row>
    <row r="601" spans="1:13" ht="15.75" customHeight="1" x14ac:dyDescent="0.35">
      <c r="A601" s="66"/>
      <c r="B601" s="67"/>
      <c r="M601" s="70"/>
    </row>
    <row r="602" spans="1:13" ht="15.75" customHeight="1" x14ac:dyDescent="0.35">
      <c r="A602" s="66"/>
      <c r="B602" s="67"/>
      <c r="M602" s="70"/>
    </row>
    <row r="603" spans="1:13" ht="15.75" customHeight="1" x14ac:dyDescent="0.35">
      <c r="A603" s="66"/>
      <c r="B603" s="67"/>
      <c r="M603" s="70"/>
    </row>
    <row r="604" spans="1:13" ht="15.75" customHeight="1" x14ac:dyDescent="0.35">
      <c r="A604" s="66"/>
      <c r="B604" s="67"/>
      <c r="M604" s="70"/>
    </row>
    <row r="605" spans="1:13" ht="15.75" customHeight="1" x14ac:dyDescent="0.35">
      <c r="A605" s="66"/>
      <c r="B605" s="67"/>
      <c r="M605" s="70"/>
    </row>
    <row r="606" spans="1:13" ht="15.75" customHeight="1" x14ac:dyDescent="0.35">
      <c r="A606" s="66"/>
      <c r="B606" s="67"/>
      <c r="M606" s="70"/>
    </row>
    <row r="607" spans="1:13" ht="15.75" customHeight="1" x14ac:dyDescent="0.35">
      <c r="A607" s="66"/>
      <c r="B607" s="67"/>
      <c r="M607" s="70"/>
    </row>
    <row r="608" spans="1:13" ht="15.75" customHeight="1" x14ac:dyDescent="0.35">
      <c r="A608" s="66"/>
      <c r="B608" s="67"/>
      <c r="M608" s="70"/>
    </row>
    <row r="609" spans="1:13" ht="15.75" customHeight="1" x14ac:dyDescent="0.35">
      <c r="A609" s="66"/>
      <c r="B609" s="67"/>
      <c r="M609" s="70"/>
    </row>
    <row r="610" spans="1:13" ht="15.75" customHeight="1" x14ac:dyDescent="0.35">
      <c r="A610" s="66"/>
      <c r="B610" s="67"/>
      <c r="M610" s="70"/>
    </row>
    <row r="611" spans="1:13" ht="15.75" customHeight="1" x14ac:dyDescent="0.35">
      <c r="A611" s="66"/>
      <c r="B611" s="67"/>
      <c r="M611" s="70"/>
    </row>
    <row r="612" spans="1:13" ht="15.75" customHeight="1" x14ac:dyDescent="0.35">
      <c r="A612" s="66"/>
      <c r="B612" s="67"/>
      <c r="M612" s="70"/>
    </row>
    <row r="613" spans="1:13" ht="15.75" customHeight="1" x14ac:dyDescent="0.35">
      <c r="A613" s="66"/>
      <c r="B613" s="67"/>
      <c r="M613" s="70"/>
    </row>
    <row r="614" spans="1:13" ht="15.75" customHeight="1" x14ac:dyDescent="0.35">
      <c r="A614" s="66"/>
      <c r="B614" s="67"/>
      <c r="M614" s="70"/>
    </row>
    <row r="615" spans="1:13" ht="15.75" customHeight="1" x14ac:dyDescent="0.35">
      <c r="A615" s="66"/>
      <c r="B615" s="67"/>
      <c r="M615" s="70"/>
    </row>
    <row r="616" spans="1:13" ht="15.75" customHeight="1" x14ac:dyDescent="0.35">
      <c r="A616" s="66"/>
      <c r="B616" s="67"/>
      <c r="M616" s="70"/>
    </row>
    <row r="617" spans="1:13" ht="15.75" customHeight="1" x14ac:dyDescent="0.35">
      <c r="A617" s="66"/>
      <c r="B617" s="67"/>
      <c r="M617" s="70"/>
    </row>
    <row r="618" spans="1:13" ht="15.75" customHeight="1" x14ac:dyDescent="0.35">
      <c r="A618" s="66"/>
      <c r="B618" s="67"/>
      <c r="M618" s="70"/>
    </row>
    <row r="619" spans="1:13" ht="15.75" customHeight="1" x14ac:dyDescent="0.35">
      <c r="A619" s="66"/>
      <c r="B619" s="67"/>
      <c r="M619" s="70"/>
    </row>
    <row r="620" spans="1:13" ht="15.75" customHeight="1" x14ac:dyDescent="0.35">
      <c r="A620" s="66"/>
      <c r="B620" s="67"/>
      <c r="M620" s="70"/>
    </row>
    <row r="621" spans="1:13" ht="15.75" customHeight="1" x14ac:dyDescent="0.35">
      <c r="A621" s="66"/>
      <c r="B621" s="67"/>
      <c r="M621" s="70"/>
    </row>
    <row r="622" spans="1:13" ht="15.75" customHeight="1" x14ac:dyDescent="0.35">
      <c r="A622" s="66"/>
      <c r="B622" s="67"/>
      <c r="M622" s="70"/>
    </row>
    <row r="623" spans="1:13" ht="15.75" customHeight="1" x14ac:dyDescent="0.35">
      <c r="A623" s="66"/>
      <c r="B623" s="67"/>
      <c r="M623" s="70"/>
    </row>
    <row r="624" spans="1:13" ht="15.75" customHeight="1" x14ac:dyDescent="0.35">
      <c r="A624" s="66"/>
      <c r="B624" s="67"/>
      <c r="M624" s="70"/>
    </row>
    <row r="625" spans="1:13" ht="15.75" customHeight="1" x14ac:dyDescent="0.35">
      <c r="A625" s="66"/>
      <c r="B625" s="67"/>
      <c r="M625" s="70"/>
    </row>
    <row r="626" spans="1:13" ht="15.75" customHeight="1" x14ac:dyDescent="0.35">
      <c r="A626" s="66"/>
      <c r="B626" s="67"/>
      <c r="M626" s="70"/>
    </row>
    <row r="627" spans="1:13" ht="15.75" customHeight="1" x14ac:dyDescent="0.35">
      <c r="A627" s="66"/>
      <c r="B627" s="67"/>
      <c r="M627" s="70"/>
    </row>
    <row r="628" spans="1:13" ht="15.75" customHeight="1" x14ac:dyDescent="0.35">
      <c r="A628" s="66"/>
      <c r="B628" s="67"/>
      <c r="M628" s="70"/>
    </row>
    <row r="629" spans="1:13" ht="15.75" customHeight="1" x14ac:dyDescent="0.35">
      <c r="A629" s="66"/>
      <c r="B629" s="67"/>
      <c r="M629" s="70"/>
    </row>
    <row r="630" spans="1:13" ht="15.75" customHeight="1" x14ac:dyDescent="0.35">
      <c r="A630" s="66"/>
      <c r="B630" s="67"/>
      <c r="M630" s="70"/>
    </row>
    <row r="631" spans="1:13" ht="15.75" customHeight="1" x14ac:dyDescent="0.35">
      <c r="A631" s="66"/>
      <c r="B631" s="67"/>
      <c r="M631" s="70"/>
    </row>
    <row r="632" spans="1:13" ht="15.75" customHeight="1" x14ac:dyDescent="0.35">
      <c r="A632" s="66"/>
      <c r="B632" s="67"/>
      <c r="M632" s="70"/>
    </row>
    <row r="633" spans="1:13" ht="15.75" customHeight="1" x14ac:dyDescent="0.35">
      <c r="A633" s="66"/>
      <c r="B633" s="67"/>
      <c r="M633" s="70"/>
    </row>
    <row r="634" spans="1:13" ht="15.75" customHeight="1" x14ac:dyDescent="0.35">
      <c r="A634" s="66"/>
      <c r="B634" s="67"/>
      <c r="M634" s="70"/>
    </row>
    <row r="635" spans="1:13" ht="15.75" customHeight="1" x14ac:dyDescent="0.35">
      <c r="A635" s="66"/>
      <c r="B635" s="67"/>
      <c r="M635" s="70"/>
    </row>
    <row r="636" spans="1:13" ht="15.75" customHeight="1" x14ac:dyDescent="0.35">
      <c r="A636" s="66"/>
      <c r="B636" s="67"/>
      <c r="M636" s="70"/>
    </row>
    <row r="637" spans="1:13" ht="15.75" customHeight="1" x14ac:dyDescent="0.35">
      <c r="A637" s="66"/>
      <c r="B637" s="67"/>
      <c r="M637" s="70"/>
    </row>
    <row r="638" spans="1:13" ht="15.75" customHeight="1" x14ac:dyDescent="0.35">
      <c r="A638" s="66"/>
      <c r="B638" s="67"/>
      <c r="M638" s="70"/>
    </row>
    <row r="639" spans="1:13" ht="15.75" customHeight="1" x14ac:dyDescent="0.35">
      <c r="A639" s="66"/>
      <c r="B639" s="67"/>
      <c r="M639" s="70"/>
    </row>
    <row r="640" spans="1:13" ht="15.75" customHeight="1" x14ac:dyDescent="0.35">
      <c r="A640" s="66"/>
      <c r="B640" s="67"/>
      <c r="M640" s="70"/>
    </row>
    <row r="641" spans="1:13" ht="15.75" customHeight="1" x14ac:dyDescent="0.35">
      <c r="A641" s="66"/>
      <c r="B641" s="67"/>
      <c r="M641" s="70"/>
    </row>
    <row r="642" spans="1:13" ht="15.75" customHeight="1" x14ac:dyDescent="0.35">
      <c r="A642" s="66"/>
      <c r="B642" s="67"/>
      <c r="M642" s="70"/>
    </row>
    <row r="643" spans="1:13" ht="15.75" customHeight="1" x14ac:dyDescent="0.35">
      <c r="A643" s="66"/>
      <c r="B643" s="67"/>
      <c r="M643" s="70"/>
    </row>
    <row r="644" spans="1:13" ht="15.75" customHeight="1" x14ac:dyDescent="0.35">
      <c r="A644" s="66"/>
      <c r="B644" s="67"/>
      <c r="M644" s="70"/>
    </row>
    <row r="645" spans="1:13" ht="15.75" customHeight="1" x14ac:dyDescent="0.35">
      <c r="A645" s="66"/>
      <c r="B645" s="67"/>
      <c r="M645" s="70"/>
    </row>
    <row r="646" spans="1:13" ht="15.75" customHeight="1" x14ac:dyDescent="0.35">
      <c r="A646" s="66"/>
      <c r="B646" s="67"/>
      <c r="M646" s="70"/>
    </row>
    <row r="647" spans="1:13" ht="15.75" customHeight="1" x14ac:dyDescent="0.35">
      <c r="A647" s="66"/>
      <c r="B647" s="67"/>
      <c r="M647" s="70"/>
    </row>
    <row r="648" spans="1:13" ht="15.75" customHeight="1" x14ac:dyDescent="0.35">
      <c r="A648" s="66"/>
      <c r="B648" s="67"/>
      <c r="M648" s="70"/>
    </row>
    <row r="649" spans="1:13" ht="15.75" customHeight="1" x14ac:dyDescent="0.35">
      <c r="A649" s="66"/>
      <c r="B649" s="67"/>
      <c r="M649" s="70"/>
    </row>
    <row r="650" spans="1:13" ht="15.75" customHeight="1" x14ac:dyDescent="0.35">
      <c r="A650" s="66"/>
      <c r="B650" s="67"/>
      <c r="M650" s="70"/>
    </row>
    <row r="651" spans="1:13" ht="15.75" customHeight="1" x14ac:dyDescent="0.35">
      <c r="A651" s="66"/>
      <c r="B651" s="67"/>
      <c r="M651" s="70"/>
    </row>
    <row r="652" spans="1:13" ht="15.75" customHeight="1" x14ac:dyDescent="0.35">
      <c r="A652" s="66"/>
      <c r="B652" s="67"/>
      <c r="M652" s="70"/>
    </row>
    <row r="653" spans="1:13" ht="15.75" customHeight="1" x14ac:dyDescent="0.35">
      <c r="A653" s="66"/>
      <c r="B653" s="67"/>
      <c r="M653" s="70"/>
    </row>
    <row r="654" spans="1:13" ht="15.75" customHeight="1" x14ac:dyDescent="0.35">
      <c r="A654" s="66"/>
      <c r="B654" s="67"/>
      <c r="M654" s="70"/>
    </row>
    <row r="655" spans="1:13" ht="15.75" customHeight="1" x14ac:dyDescent="0.35">
      <c r="A655" s="66"/>
      <c r="B655" s="67"/>
      <c r="M655" s="70"/>
    </row>
    <row r="656" spans="1:13" ht="15.75" customHeight="1" x14ac:dyDescent="0.35">
      <c r="A656" s="66"/>
      <c r="B656" s="67"/>
      <c r="M656" s="70"/>
    </row>
    <row r="657" spans="1:13" ht="15.75" customHeight="1" x14ac:dyDescent="0.35">
      <c r="A657" s="66"/>
      <c r="B657" s="67"/>
      <c r="M657" s="70"/>
    </row>
    <row r="658" spans="1:13" ht="15.75" customHeight="1" x14ac:dyDescent="0.35">
      <c r="A658" s="66"/>
      <c r="B658" s="67"/>
      <c r="M658" s="70"/>
    </row>
    <row r="659" spans="1:13" ht="15.75" customHeight="1" x14ac:dyDescent="0.35">
      <c r="A659" s="66"/>
      <c r="B659" s="67"/>
      <c r="M659" s="70"/>
    </row>
    <row r="660" spans="1:13" ht="15.75" customHeight="1" x14ac:dyDescent="0.35">
      <c r="A660" s="66"/>
      <c r="B660" s="67"/>
      <c r="M660" s="70"/>
    </row>
    <row r="661" spans="1:13" ht="15.75" customHeight="1" x14ac:dyDescent="0.35">
      <c r="A661" s="66"/>
      <c r="B661" s="67"/>
      <c r="M661" s="70"/>
    </row>
    <row r="662" spans="1:13" ht="15.75" customHeight="1" x14ac:dyDescent="0.35">
      <c r="A662" s="66"/>
      <c r="B662" s="67"/>
      <c r="M662" s="70"/>
    </row>
    <row r="663" spans="1:13" ht="15.75" customHeight="1" x14ac:dyDescent="0.35">
      <c r="A663" s="66"/>
      <c r="B663" s="67"/>
      <c r="M663" s="70"/>
    </row>
    <row r="664" spans="1:13" ht="15.75" customHeight="1" x14ac:dyDescent="0.35">
      <c r="A664" s="66"/>
      <c r="B664" s="67"/>
      <c r="M664" s="70"/>
    </row>
    <row r="665" spans="1:13" ht="15.75" customHeight="1" x14ac:dyDescent="0.35">
      <c r="A665" s="66"/>
      <c r="B665" s="67"/>
      <c r="M665" s="70"/>
    </row>
    <row r="666" spans="1:13" ht="15.75" customHeight="1" x14ac:dyDescent="0.35">
      <c r="A666" s="66"/>
      <c r="B666" s="67"/>
      <c r="M666" s="70"/>
    </row>
    <row r="667" spans="1:13" ht="15.75" customHeight="1" x14ac:dyDescent="0.35">
      <c r="A667" s="66"/>
      <c r="B667" s="67"/>
      <c r="M667" s="70"/>
    </row>
    <row r="668" spans="1:13" ht="15.75" customHeight="1" x14ac:dyDescent="0.35">
      <c r="A668" s="66"/>
      <c r="B668" s="67"/>
      <c r="M668" s="70"/>
    </row>
    <row r="669" spans="1:13" ht="15.75" customHeight="1" x14ac:dyDescent="0.35">
      <c r="A669" s="66"/>
      <c r="B669" s="67"/>
      <c r="M669" s="70"/>
    </row>
    <row r="670" spans="1:13" ht="15.75" customHeight="1" x14ac:dyDescent="0.35">
      <c r="A670" s="66"/>
      <c r="B670" s="67"/>
      <c r="M670" s="70"/>
    </row>
    <row r="671" spans="1:13" ht="15.75" customHeight="1" x14ac:dyDescent="0.35">
      <c r="A671" s="66"/>
      <c r="B671" s="67"/>
      <c r="M671" s="70"/>
    </row>
    <row r="672" spans="1:13" ht="15.75" customHeight="1" x14ac:dyDescent="0.35">
      <c r="A672" s="66"/>
      <c r="B672" s="67"/>
      <c r="M672" s="70"/>
    </row>
    <row r="673" spans="1:13" ht="15.75" customHeight="1" x14ac:dyDescent="0.35">
      <c r="A673" s="66"/>
      <c r="B673" s="67"/>
      <c r="M673" s="70"/>
    </row>
    <row r="674" spans="1:13" ht="15.75" customHeight="1" x14ac:dyDescent="0.35">
      <c r="A674" s="66"/>
      <c r="B674" s="67"/>
      <c r="M674" s="70"/>
    </row>
    <row r="675" spans="1:13" ht="15.75" customHeight="1" x14ac:dyDescent="0.35">
      <c r="A675" s="66"/>
      <c r="B675" s="67"/>
      <c r="M675" s="70"/>
    </row>
    <row r="676" spans="1:13" ht="15.75" customHeight="1" x14ac:dyDescent="0.35">
      <c r="A676" s="66"/>
      <c r="B676" s="67"/>
      <c r="M676" s="70"/>
    </row>
    <row r="677" spans="1:13" ht="15.75" customHeight="1" x14ac:dyDescent="0.35">
      <c r="A677" s="66"/>
      <c r="B677" s="67"/>
      <c r="M677" s="70"/>
    </row>
    <row r="678" spans="1:13" ht="15.75" customHeight="1" x14ac:dyDescent="0.35">
      <c r="A678" s="66"/>
      <c r="B678" s="67"/>
      <c r="M678" s="70"/>
    </row>
    <row r="679" spans="1:13" ht="15.75" customHeight="1" x14ac:dyDescent="0.35">
      <c r="A679" s="66"/>
      <c r="B679" s="67"/>
      <c r="M679" s="70"/>
    </row>
    <row r="680" spans="1:13" ht="15.75" customHeight="1" x14ac:dyDescent="0.35">
      <c r="A680" s="66"/>
      <c r="B680" s="67"/>
      <c r="M680" s="70"/>
    </row>
    <row r="681" spans="1:13" ht="15.75" customHeight="1" x14ac:dyDescent="0.35">
      <c r="A681" s="66"/>
      <c r="B681" s="67"/>
      <c r="M681" s="70"/>
    </row>
    <row r="682" spans="1:13" ht="15.75" customHeight="1" x14ac:dyDescent="0.35">
      <c r="A682" s="66"/>
      <c r="B682" s="67"/>
      <c r="M682" s="70"/>
    </row>
    <row r="683" spans="1:13" ht="15.75" customHeight="1" x14ac:dyDescent="0.35">
      <c r="A683" s="66"/>
      <c r="B683" s="67"/>
      <c r="M683" s="70"/>
    </row>
    <row r="684" spans="1:13" ht="15.75" customHeight="1" x14ac:dyDescent="0.35">
      <c r="A684" s="66"/>
      <c r="B684" s="67"/>
      <c r="M684" s="70"/>
    </row>
    <row r="685" spans="1:13" ht="15.75" customHeight="1" x14ac:dyDescent="0.35">
      <c r="A685" s="66"/>
      <c r="B685" s="67"/>
      <c r="M685" s="70"/>
    </row>
    <row r="686" spans="1:13" ht="15.75" customHeight="1" x14ac:dyDescent="0.35">
      <c r="A686" s="66"/>
      <c r="B686" s="67"/>
      <c r="M686" s="70"/>
    </row>
    <row r="687" spans="1:13" ht="15.75" customHeight="1" x14ac:dyDescent="0.35">
      <c r="A687" s="66"/>
      <c r="B687" s="67"/>
      <c r="M687" s="70"/>
    </row>
    <row r="688" spans="1:13" ht="15.75" customHeight="1" x14ac:dyDescent="0.35">
      <c r="A688" s="66"/>
      <c r="B688" s="67"/>
      <c r="M688" s="70"/>
    </row>
    <row r="689" spans="1:13" ht="15.75" customHeight="1" x14ac:dyDescent="0.35">
      <c r="A689" s="66"/>
      <c r="B689" s="67"/>
      <c r="M689" s="70"/>
    </row>
    <row r="690" spans="1:13" ht="15.75" customHeight="1" x14ac:dyDescent="0.35">
      <c r="A690" s="66"/>
      <c r="B690" s="67"/>
      <c r="M690" s="70"/>
    </row>
    <row r="691" spans="1:13" ht="15.75" customHeight="1" x14ac:dyDescent="0.35">
      <c r="A691" s="66"/>
      <c r="B691" s="67"/>
      <c r="M691" s="70"/>
    </row>
    <row r="692" spans="1:13" ht="15.75" customHeight="1" x14ac:dyDescent="0.35">
      <c r="A692" s="66"/>
      <c r="B692" s="67"/>
      <c r="M692" s="70"/>
    </row>
    <row r="693" spans="1:13" ht="15.75" customHeight="1" x14ac:dyDescent="0.35">
      <c r="A693" s="66"/>
      <c r="B693" s="67"/>
      <c r="M693" s="70"/>
    </row>
    <row r="694" spans="1:13" ht="15.75" customHeight="1" x14ac:dyDescent="0.35">
      <c r="A694" s="66"/>
      <c r="B694" s="67"/>
      <c r="M694" s="70"/>
    </row>
    <row r="695" spans="1:13" ht="15.75" customHeight="1" x14ac:dyDescent="0.35">
      <c r="A695" s="66"/>
      <c r="B695" s="67"/>
      <c r="M695" s="70"/>
    </row>
    <row r="696" spans="1:13" ht="15.75" customHeight="1" x14ac:dyDescent="0.35">
      <c r="A696" s="66"/>
      <c r="B696" s="67"/>
      <c r="M696" s="70"/>
    </row>
    <row r="697" spans="1:13" ht="15.75" customHeight="1" x14ac:dyDescent="0.35">
      <c r="A697" s="66"/>
      <c r="B697" s="67"/>
      <c r="M697" s="70"/>
    </row>
    <row r="698" spans="1:13" ht="15.75" customHeight="1" x14ac:dyDescent="0.35">
      <c r="A698" s="66"/>
      <c r="B698" s="67"/>
      <c r="M698" s="70"/>
    </row>
    <row r="699" spans="1:13" ht="15.75" customHeight="1" x14ac:dyDescent="0.35">
      <c r="A699" s="66"/>
      <c r="B699" s="67"/>
      <c r="M699" s="70"/>
    </row>
    <row r="700" spans="1:13" ht="15.75" customHeight="1" x14ac:dyDescent="0.35">
      <c r="A700" s="66"/>
      <c r="B700" s="67"/>
      <c r="M700" s="70"/>
    </row>
    <row r="701" spans="1:13" ht="15.75" customHeight="1" x14ac:dyDescent="0.35">
      <c r="A701" s="66"/>
      <c r="B701" s="67"/>
      <c r="M701" s="70"/>
    </row>
    <row r="702" spans="1:13" ht="15.75" customHeight="1" x14ac:dyDescent="0.35">
      <c r="A702" s="66"/>
      <c r="B702" s="67"/>
      <c r="M702" s="70"/>
    </row>
    <row r="703" spans="1:13" ht="15.75" customHeight="1" x14ac:dyDescent="0.35">
      <c r="A703" s="66"/>
      <c r="B703" s="67"/>
      <c r="M703" s="70"/>
    </row>
    <row r="704" spans="1:13" ht="15.75" customHeight="1" x14ac:dyDescent="0.35">
      <c r="A704" s="66"/>
      <c r="B704" s="67"/>
      <c r="M704" s="70"/>
    </row>
    <row r="705" spans="1:13" ht="15.75" customHeight="1" x14ac:dyDescent="0.35">
      <c r="A705" s="66"/>
      <c r="B705" s="67"/>
      <c r="M705" s="70"/>
    </row>
    <row r="706" spans="1:13" ht="15.75" customHeight="1" x14ac:dyDescent="0.35">
      <c r="A706" s="66"/>
      <c r="B706" s="67"/>
      <c r="M706" s="70"/>
    </row>
    <row r="707" spans="1:13" ht="15.75" customHeight="1" x14ac:dyDescent="0.35">
      <c r="A707" s="66"/>
      <c r="B707" s="67"/>
      <c r="M707" s="70"/>
    </row>
    <row r="708" spans="1:13" ht="15.75" customHeight="1" x14ac:dyDescent="0.35">
      <c r="A708" s="66"/>
      <c r="B708" s="67"/>
      <c r="M708" s="70"/>
    </row>
    <row r="709" spans="1:13" ht="15.75" customHeight="1" x14ac:dyDescent="0.35">
      <c r="A709" s="66"/>
      <c r="B709" s="67"/>
      <c r="M709" s="70"/>
    </row>
    <row r="710" spans="1:13" ht="15.75" customHeight="1" x14ac:dyDescent="0.35">
      <c r="A710" s="66"/>
      <c r="B710" s="67"/>
      <c r="M710" s="70"/>
    </row>
    <row r="711" spans="1:13" ht="15.75" customHeight="1" x14ac:dyDescent="0.35">
      <c r="A711" s="66"/>
      <c r="B711" s="67"/>
      <c r="M711" s="70"/>
    </row>
    <row r="712" spans="1:13" ht="15.75" customHeight="1" x14ac:dyDescent="0.35">
      <c r="A712" s="66"/>
      <c r="B712" s="67"/>
      <c r="M712" s="70"/>
    </row>
    <row r="713" spans="1:13" ht="15.75" customHeight="1" x14ac:dyDescent="0.35">
      <c r="A713" s="66"/>
      <c r="B713" s="67"/>
      <c r="M713" s="70"/>
    </row>
    <row r="714" spans="1:13" ht="15.75" customHeight="1" x14ac:dyDescent="0.35">
      <c r="A714" s="66"/>
      <c r="B714" s="67"/>
      <c r="M714" s="70"/>
    </row>
    <row r="715" spans="1:13" ht="15.75" customHeight="1" x14ac:dyDescent="0.35">
      <c r="A715" s="66"/>
      <c r="B715" s="67"/>
      <c r="M715" s="70"/>
    </row>
    <row r="716" spans="1:13" ht="15.75" customHeight="1" x14ac:dyDescent="0.35">
      <c r="A716" s="66"/>
      <c r="B716" s="67"/>
      <c r="M716" s="70"/>
    </row>
    <row r="717" spans="1:13" ht="15.75" customHeight="1" x14ac:dyDescent="0.35">
      <c r="A717" s="66"/>
      <c r="B717" s="67"/>
      <c r="M717" s="70"/>
    </row>
    <row r="718" spans="1:13" ht="15.75" customHeight="1" x14ac:dyDescent="0.35">
      <c r="A718" s="66"/>
      <c r="B718" s="67"/>
      <c r="M718" s="70"/>
    </row>
    <row r="719" spans="1:13" ht="15.75" customHeight="1" x14ac:dyDescent="0.35">
      <c r="A719" s="66"/>
      <c r="B719" s="67"/>
      <c r="M719" s="70"/>
    </row>
    <row r="720" spans="1:13" ht="15.75" customHeight="1" x14ac:dyDescent="0.35">
      <c r="A720" s="66"/>
      <c r="B720" s="67"/>
      <c r="M720" s="70"/>
    </row>
    <row r="721" spans="1:13" ht="15.75" customHeight="1" x14ac:dyDescent="0.35">
      <c r="A721" s="66"/>
      <c r="B721" s="67"/>
      <c r="M721" s="70"/>
    </row>
    <row r="722" spans="1:13" ht="15.75" customHeight="1" x14ac:dyDescent="0.35">
      <c r="A722" s="66"/>
      <c r="B722" s="67"/>
      <c r="M722" s="70"/>
    </row>
    <row r="723" spans="1:13" ht="15.75" customHeight="1" x14ac:dyDescent="0.35">
      <c r="A723" s="66"/>
      <c r="B723" s="67"/>
      <c r="M723" s="70"/>
    </row>
    <row r="724" spans="1:13" ht="15.75" customHeight="1" x14ac:dyDescent="0.35">
      <c r="A724" s="66"/>
      <c r="B724" s="67"/>
      <c r="M724" s="70"/>
    </row>
    <row r="725" spans="1:13" ht="15.75" customHeight="1" x14ac:dyDescent="0.35">
      <c r="A725" s="66"/>
      <c r="B725" s="67"/>
      <c r="M725" s="70"/>
    </row>
    <row r="726" spans="1:13" ht="15.75" customHeight="1" x14ac:dyDescent="0.35">
      <c r="A726" s="66"/>
      <c r="B726" s="67"/>
      <c r="M726" s="70"/>
    </row>
    <row r="727" spans="1:13" ht="15.75" customHeight="1" x14ac:dyDescent="0.35">
      <c r="A727" s="66"/>
      <c r="B727" s="67"/>
      <c r="M727" s="70"/>
    </row>
    <row r="728" spans="1:13" ht="15.75" customHeight="1" x14ac:dyDescent="0.35">
      <c r="A728" s="66"/>
      <c r="B728" s="67"/>
      <c r="M728" s="70"/>
    </row>
    <row r="729" spans="1:13" ht="15.75" customHeight="1" x14ac:dyDescent="0.35">
      <c r="A729" s="66"/>
      <c r="B729" s="67"/>
      <c r="M729" s="70"/>
    </row>
    <row r="730" spans="1:13" ht="15.75" customHeight="1" x14ac:dyDescent="0.35">
      <c r="A730" s="66"/>
      <c r="B730" s="67"/>
      <c r="M730" s="70"/>
    </row>
    <row r="731" spans="1:13" ht="15.75" customHeight="1" x14ac:dyDescent="0.35">
      <c r="A731" s="66"/>
      <c r="B731" s="67"/>
      <c r="M731" s="70"/>
    </row>
    <row r="732" spans="1:13" ht="15.75" customHeight="1" x14ac:dyDescent="0.35">
      <c r="A732" s="66"/>
      <c r="B732" s="67"/>
      <c r="M732" s="70"/>
    </row>
    <row r="733" spans="1:13" ht="15.75" customHeight="1" x14ac:dyDescent="0.35">
      <c r="A733" s="66"/>
      <c r="B733" s="67"/>
      <c r="M733" s="70"/>
    </row>
    <row r="734" spans="1:13" ht="15.75" customHeight="1" x14ac:dyDescent="0.35">
      <c r="A734" s="66"/>
      <c r="B734" s="67"/>
      <c r="M734" s="70"/>
    </row>
    <row r="735" spans="1:13" ht="15.75" customHeight="1" x14ac:dyDescent="0.35">
      <c r="A735" s="66"/>
      <c r="B735" s="67"/>
      <c r="M735" s="70"/>
    </row>
    <row r="736" spans="1:13" ht="15.75" customHeight="1" x14ac:dyDescent="0.35">
      <c r="A736" s="66"/>
      <c r="B736" s="67"/>
      <c r="M736" s="70"/>
    </row>
    <row r="737" spans="1:13" ht="15.75" customHeight="1" x14ac:dyDescent="0.35">
      <c r="A737" s="66"/>
      <c r="B737" s="67"/>
      <c r="M737" s="70"/>
    </row>
    <row r="738" spans="1:13" ht="15.75" customHeight="1" x14ac:dyDescent="0.35">
      <c r="A738" s="66"/>
      <c r="B738" s="67"/>
      <c r="M738" s="70"/>
    </row>
    <row r="739" spans="1:13" ht="15.75" customHeight="1" x14ac:dyDescent="0.35">
      <c r="A739" s="66"/>
      <c r="B739" s="67"/>
      <c r="M739" s="70"/>
    </row>
    <row r="740" spans="1:13" ht="15.75" customHeight="1" x14ac:dyDescent="0.35">
      <c r="A740" s="66"/>
      <c r="B740" s="67"/>
      <c r="M740" s="70"/>
    </row>
    <row r="741" spans="1:13" ht="15.75" customHeight="1" x14ac:dyDescent="0.35">
      <c r="A741" s="66"/>
      <c r="B741" s="67"/>
      <c r="M741" s="70"/>
    </row>
    <row r="742" spans="1:13" ht="15.75" customHeight="1" x14ac:dyDescent="0.35">
      <c r="A742" s="66"/>
      <c r="B742" s="67"/>
      <c r="M742" s="70"/>
    </row>
    <row r="743" spans="1:13" ht="15.75" customHeight="1" x14ac:dyDescent="0.35">
      <c r="A743" s="66"/>
      <c r="B743" s="67"/>
      <c r="M743" s="70"/>
    </row>
    <row r="744" spans="1:13" ht="15.75" customHeight="1" x14ac:dyDescent="0.35">
      <c r="A744" s="66"/>
      <c r="B744" s="67"/>
      <c r="M744" s="70"/>
    </row>
    <row r="745" spans="1:13" ht="15.75" customHeight="1" x14ac:dyDescent="0.35">
      <c r="A745" s="66"/>
      <c r="B745" s="67"/>
      <c r="M745" s="70"/>
    </row>
    <row r="746" spans="1:13" ht="15.75" customHeight="1" x14ac:dyDescent="0.35">
      <c r="A746" s="66"/>
      <c r="B746" s="67"/>
      <c r="M746" s="70"/>
    </row>
    <row r="747" spans="1:13" ht="15.75" customHeight="1" x14ac:dyDescent="0.35">
      <c r="A747" s="66"/>
      <c r="B747" s="67"/>
      <c r="M747" s="70"/>
    </row>
    <row r="748" spans="1:13" ht="15.75" customHeight="1" x14ac:dyDescent="0.35">
      <c r="A748" s="66"/>
      <c r="B748" s="67"/>
      <c r="M748" s="70"/>
    </row>
    <row r="749" spans="1:13" ht="15.75" customHeight="1" x14ac:dyDescent="0.35">
      <c r="A749" s="66"/>
      <c r="B749" s="67"/>
      <c r="M749" s="70"/>
    </row>
    <row r="750" spans="1:13" ht="15.75" customHeight="1" x14ac:dyDescent="0.35">
      <c r="A750" s="66"/>
      <c r="B750" s="67"/>
      <c r="M750" s="70"/>
    </row>
    <row r="751" spans="1:13" ht="15.75" customHeight="1" x14ac:dyDescent="0.35">
      <c r="A751" s="66"/>
      <c r="B751" s="67"/>
      <c r="M751" s="70"/>
    </row>
    <row r="752" spans="1:13" ht="15.75" customHeight="1" x14ac:dyDescent="0.35">
      <c r="A752" s="66"/>
      <c r="B752" s="67"/>
      <c r="M752" s="70"/>
    </row>
    <row r="753" spans="1:13" ht="15.75" customHeight="1" x14ac:dyDescent="0.35">
      <c r="A753" s="66"/>
      <c r="B753" s="67"/>
      <c r="M753" s="70"/>
    </row>
    <row r="754" spans="1:13" ht="15.75" customHeight="1" x14ac:dyDescent="0.35">
      <c r="A754" s="66"/>
      <c r="B754" s="67"/>
      <c r="M754" s="70"/>
    </row>
    <row r="755" spans="1:13" ht="15.75" customHeight="1" x14ac:dyDescent="0.35">
      <c r="A755" s="66"/>
      <c r="B755" s="67"/>
      <c r="M755" s="70"/>
    </row>
    <row r="756" spans="1:13" ht="15.75" customHeight="1" x14ac:dyDescent="0.35">
      <c r="A756" s="66"/>
      <c r="B756" s="67"/>
      <c r="M756" s="70"/>
    </row>
    <row r="757" spans="1:13" ht="15.75" customHeight="1" x14ac:dyDescent="0.35">
      <c r="A757" s="66"/>
      <c r="B757" s="67"/>
      <c r="M757" s="70"/>
    </row>
    <row r="758" spans="1:13" ht="15.75" customHeight="1" x14ac:dyDescent="0.35">
      <c r="A758" s="66"/>
      <c r="B758" s="67"/>
      <c r="M758" s="70"/>
    </row>
    <row r="759" spans="1:13" ht="15.75" customHeight="1" x14ac:dyDescent="0.35">
      <c r="A759" s="66"/>
      <c r="B759" s="67"/>
      <c r="M759" s="70"/>
    </row>
    <row r="760" spans="1:13" ht="15.75" customHeight="1" x14ac:dyDescent="0.35">
      <c r="A760" s="66"/>
      <c r="B760" s="67"/>
      <c r="M760" s="70"/>
    </row>
    <row r="761" spans="1:13" ht="15.75" customHeight="1" x14ac:dyDescent="0.35">
      <c r="A761" s="66"/>
      <c r="B761" s="67"/>
      <c r="M761" s="70"/>
    </row>
    <row r="762" spans="1:13" ht="15.75" customHeight="1" x14ac:dyDescent="0.35">
      <c r="A762" s="66"/>
      <c r="B762" s="67"/>
      <c r="M762" s="70"/>
    </row>
    <row r="763" spans="1:13" ht="15.75" customHeight="1" x14ac:dyDescent="0.35">
      <c r="A763" s="66"/>
      <c r="B763" s="67"/>
      <c r="M763" s="70"/>
    </row>
    <row r="764" spans="1:13" ht="15.75" customHeight="1" x14ac:dyDescent="0.35">
      <c r="A764" s="66"/>
      <c r="B764" s="67"/>
      <c r="M764" s="70"/>
    </row>
    <row r="765" spans="1:13" ht="15.75" customHeight="1" x14ac:dyDescent="0.35">
      <c r="A765" s="66"/>
      <c r="B765" s="67"/>
      <c r="M765" s="70"/>
    </row>
    <row r="766" spans="1:13" ht="15.75" customHeight="1" x14ac:dyDescent="0.35">
      <c r="A766" s="66"/>
      <c r="B766" s="67"/>
      <c r="M766" s="70"/>
    </row>
    <row r="767" spans="1:13" ht="15.75" customHeight="1" x14ac:dyDescent="0.35">
      <c r="A767" s="66"/>
      <c r="B767" s="67"/>
      <c r="M767" s="70"/>
    </row>
    <row r="768" spans="1:13" ht="15.75" customHeight="1" x14ac:dyDescent="0.35">
      <c r="A768" s="66"/>
      <c r="B768" s="67"/>
      <c r="M768" s="70"/>
    </row>
    <row r="769" spans="1:13" ht="15.75" customHeight="1" x14ac:dyDescent="0.35">
      <c r="A769" s="66"/>
      <c r="B769" s="67"/>
      <c r="M769" s="70"/>
    </row>
    <row r="770" spans="1:13" ht="15.75" customHeight="1" x14ac:dyDescent="0.35">
      <c r="A770" s="66"/>
      <c r="B770" s="67"/>
      <c r="M770" s="70"/>
    </row>
    <row r="771" spans="1:13" ht="15.75" customHeight="1" x14ac:dyDescent="0.35">
      <c r="A771" s="66"/>
      <c r="B771" s="67"/>
      <c r="M771" s="70"/>
    </row>
    <row r="772" spans="1:13" ht="15.75" customHeight="1" x14ac:dyDescent="0.35">
      <c r="A772" s="66"/>
      <c r="B772" s="67"/>
      <c r="M772" s="70"/>
    </row>
    <row r="773" spans="1:13" ht="15.75" customHeight="1" x14ac:dyDescent="0.35">
      <c r="A773" s="66"/>
      <c r="B773" s="67"/>
      <c r="M773" s="70"/>
    </row>
    <row r="774" spans="1:13" ht="15.75" customHeight="1" x14ac:dyDescent="0.35">
      <c r="A774" s="66"/>
      <c r="B774" s="67"/>
      <c r="M774" s="70"/>
    </row>
    <row r="775" spans="1:13" ht="15.75" customHeight="1" x14ac:dyDescent="0.35">
      <c r="A775" s="66"/>
      <c r="B775" s="67"/>
      <c r="M775" s="70"/>
    </row>
    <row r="776" spans="1:13" ht="15.75" customHeight="1" x14ac:dyDescent="0.35">
      <c r="A776" s="66"/>
      <c r="B776" s="67"/>
      <c r="M776" s="70"/>
    </row>
    <row r="777" spans="1:13" ht="15.75" customHeight="1" x14ac:dyDescent="0.35">
      <c r="A777" s="66"/>
      <c r="B777" s="67"/>
      <c r="M777" s="70"/>
    </row>
    <row r="778" spans="1:13" ht="15.75" customHeight="1" x14ac:dyDescent="0.35">
      <c r="A778" s="66"/>
      <c r="B778" s="67"/>
      <c r="M778" s="70"/>
    </row>
    <row r="779" spans="1:13" ht="15.75" customHeight="1" x14ac:dyDescent="0.35">
      <c r="A779" s="66"/>
      <c r="B779" s="67"/>
      <c r="M779" s="70"/>
    </row>
    <row r="780" spans="1:13" ht="15.75" customHeight="1" x14ac:dyDescent="0.35">
      <c r="A780" s="66"/>
      <c r="B780" s="67"/>
      <c r="M780" s="70"/>
    </row>
    <row r="781" spans="1:13" ht="15.75" customHeight="1" x14ac:dyDescent="0.35">
      <c r="A781" s="66"/>
      <c r="B781" s="67"/>
      <c r="M781" s="70"/>
    </row>
    <row r="782" spans="1:13" ht="15.75" customHeight="1" x14ac:dyDescent="0.35">
      <c r="A782" s="66"/>
      <c r="B782" s="67"/>
      <c r="M782" s="70"/>
    </row>
    <row r="783" spans="1:13" ht="15.75" customHeight="1" x14ac:dyDescent="0.35">
      <c r="A783" s="66"/>
      <c r="B783" s="67"/>
      <c r="M783" s="70"/>
    </row>
    <row r="784" spans="1:13" ht="15.75" customHeight="1" x14ac:dyDescent="0.35">
      <c r="A784" s="66"/>
      <c r="B784" s="67"/>
      <c r="M784" s="70"/>
    </row>
    <row r="785" spans="1:13" ht="15.75" customHeight="1" x14ac:dyDescent="0.35">
      <c r="A785" s="66"/>
      <c r="B785" s="67"/>
      <c r="M785" s="70"/>
    </row>
    <row r="786" spans="1:13" ht="15.75" customHeight="1" x14ac:dyDescent="0.35">
      <c r="A786" s="66"/>
      <c r="B786" s="67"/>
      <c r="M786" s="70"/>
    </row>
    <row r="787" spans="1:13" ht="15.75" customHeight="1" x14ac:dyDescent="0.35">
      <c r="A787" s="66"/>
      <c r="B787" s="67"/>
      <c r="M787" s="70"/>
    </row>
    <row r="788" spans="1:13" ht="15.75" customHeight="1" x14ac:dyDescent="0.35">
      <c r="A788" s="66"/>
      <c r="B788" s="67"/>
      <c r="M788" s="70"/>
    </row>
    <row r="789" spans="1:13" ht="15.75" customHeight="1" x14ac:dyDescent="0.35">
      <c r="A789" s="66"/>
      <c r="B789" s="67"/>
      <c r="M789" s="70"/>
    </row>
    <row r="790" spans="1:13" ht="15.75" customHeight="1" x14ac:dyDescent="0.35">
      <c r="A790" s="66"/>
      <c r="B790" s="67"/>
      <c r="M790" s="70"/>
    </row>
    <row r="791" spans="1:13" ht="15.75" customHeight="1" x14ac:dyDescent="0.35">
      <c r="A791" s="66"/>
      <c r="B791" s="67"/>
      <c r="M791" s="70"/>
    </row>
    <row r="792" spans="1:13" ht="15.75" customHeight="1" x14ac:dyDescent="0.35">
      <c r="A792" s="66"/>
      <c r="B792" s="67"/>
      <c r="M792" s="70"/>
    </row>
    <row r="793" spans="1:13" ht="15.75" customHeight="1" x14ac:dyDescent="0.35">
      <c r="A793" s="66"/>
      <c r="B793" s="67"/>
      <c r="M793" s="70"/>
    </row>
    <row r="794" spans="1:13" ht="15.75" customHeight="1" x14ac:dyDescent="0.35">
      <c r="A794" s="66"/>
      <c r="B794" s="67"/>
      <c r="M794" s="70"/>
    </row>
    <row r="795" spans="1:13" ht="15.75" customHeight="1" x14ac:dyDescent="0.35">
      <c r="A795" s="66"/>
      <c r="B795" s="67"/>
      <c r="M795" s="70"/>
    </row>
    <row r="796" spans="1:13" ht="15.75" customHeight="1" x14ac:dyDescent="0.35">
      <c r="A796" s="66"/>
      <c r="B796" s="67"/>
      <c r="M796" s="70"/>
    </row>
    <row r="797" spans="1:13" ht="15.75" customHeight="1" x14ac:dyDescent="0.35">
      <c r="A797" s="66"/>
      <c r="B797" s="67"/>
      <c r="M797" s="70"/>
    </row>
    <row r="798" spans="1:13" ht="15.75" customHeight="1" x14ac:dyDescent="0.35">
      <c r="A798" s="66"/>
      <c r="B798" s="67"/>
      <c r="M798" s="70"/>
    </row>
    <row r="799" spans="1:13" ht="15.75" customHeight="1" x14ac:dyDescent="0.35">
      <c r="A799" s="66"/>
      <c r="B799" s="67"/>
      <c r="M799" s="70"/>
    </row>
    <row r="800" spans="1:13" ht="15.75" customHeight="1" x14ac:dyDescent="0.35">
      <c r="A800" s="66"/>
      <c r="B800" s="67"/>
      <c r="M800" s="70"/>
    </row>
    <row r="801" spans="1:13" ht="15.75" customHeight="1" x14ac:dyDescent="0.35">
      <c r="A801" s="66"/>
      <c r="B801" s="67"/>
      <c r="M801" s="70"/>
    </row>
    <row r="802" spans="1:13" ht="15.75" customHeight="1" x14ac:dyDescent="0.35">
      <c r="A802" s="66"/>
      <c r="B802" s="67"/>
      <c r="M802" s="70"/>
    </row>
    <row r="803" spans="1:13" ht="15.75" customHeight="1" x14ac:dyDescent="0.35">
      <c r="A803" s="66"/>
      <c r="B803" s="67"/>
      <c r="M803" s="70"/>
    </row>
    <row r="804" spans="1:13" ht="15.75" customHeight="1" x14ac:dyDescent="0.35">
      <c r="A804" s="66"/>
      <c r="B804" s="67"/>
      <c r="M804" s="70"/>
    </row>
    <row r="805" spans="1:13" ht="15.75" customHeight="1" x14ac:dyDescent="0.35">
      <c r="A805" s="66"/>
      <c r="B805" s="67"/>
      <c r="M805" s="70"/>
    </row>
    <row r="806" spans="1:13" ht="15.75" customHeight="1" x14ac:dyDescent="0.35">
      <c r="A806" s="66"/>
      <c r="B806" s="67"/>
      <c r="M806" s="70"/>
    </row>
    <row r="807" spans="1:13" ht="15.75" customHeight="1" x14ac:dyDescent="0.35">
      <c r="A807" s="66"/>
      <c r="B807" s="67"/>
      <c r="M807" s="70"/>
    </row>
    <row r="808" spans="1:13" ht="15.75" customHeight="1" x14ac:dyDescent="0.35">
      <c r="A808" s="66"/>
      <c r="B808" s="67"/>
      <c r="M808" s="70"/>
    </row>
    <row r="809" spans="1:13" ht="15.75" customHeight="1" x14ac:dyDescent="0.35">
      <c r="A809" s="66"/>
      <c r="B809" s="67"/>
      <c r="M809" s="70"/>
    </row>
    <row r="810" spans="1:13" ht="15.75" customHeight="1" x14ac:dyDescent="0.35">
      <c r="A810" s="66"/>
      <c r="B810" s="67"/>
      <c r="M810" s="70"/>
    </row>
    <row r="811" spans="1:13" ht="15.75" customHeight="1" x14ac:dyDescent="0.35">
      <c r="A811" s="66"/>
      <c r="B811" s="67"/>
      <c r="M811" s="70"/>
    </row>
    <row r="812" spans="1:13" ht="15.75" customHeight="1" x14ac:dyDescent="0.35">
      <c r="A812" s="66"/>
      <c r="B812" s="67"/>
      <c r="M812" s="70"/>
    </row>
    <row r="813" spans="1:13" ht="15.75" customHeight="1" x14ac:dyDescent="0.35">
      <c r="A813" s="66"/>
      <c r="B813" s="67"/>
      <c r="M813" s="70"/>
    </row>
    <row r="814" spans="1:13" ht="15.75" customHeight="1" x14ac:dyDescent="0.35">
      <c r="A814" s="66"/>
      <c r="B814" s="67"/>
      <c r="M814" s="70"/>
    </row>
    <row r="815" spans="1:13" ht="15.75" customHeight="1" x14ac:dyDescent="0.35">
      <c r="A815" s="66"/>
      <c r="B815" s="67"/>
      <c r="M815" s="70"/>
    </row>
    <row r="816" spans="1:13" ht="15.75" customHeight="1" x14ac:dyDescent="0.35">
      <c r="A816" s="66"/>
      <c r="B816" s="67"/>
      <c r="M816" s="70"/>
    </row>
    <row r="817" spans="1:13" ht="15.75" customHeight="1" x14ac:dyDescent="0.35">
      <c r="A817" s="66"/>
      <c r="B817" s="67"/>
      <c r="M817" s="70"/>
    </row>
    <row r="818" spans="1:13" ht="15.75" customHeight="1" x14ac:dyDescent="0.35">
      <c r="A818" s="66"/>
      <c r="B818" s="67"/>
      <c r="M818" s="70"/>
    </row>
    <row r="819" spans="1:13" ht="15.75" customHeight="1" x14ac:dyDescent="0.35">
      <c r="A819" s="66"/>
      <c r="B819" s="67"/>
      <c r="M819" s="70"/>
    </row>
    <row r="820" spans="1:13" ht="15.75" customHeight="1" x14ac:dyDescent="0.35">
      <c r="A820" s="66"/>
      <c r="B820" s="67"/>
      <c r="M820" s="70"/>
    </row>
    <row r="821" spans="1:13" ht="15.75" customHeight="1" x14ac:dyDescent="0.35">
      <c r="A821" s="66"/>
      <c r="B821" s="67"/>
      <c r="M821" s="70"/>
    </row>
    <row r="822" spans="1:13" ht="15.75" customHeight="1" x14ac:dyDescent="0.35">
      <c r="A822" s="66"/>
      <c r="B822" s="67"/>
      <c r="M822" s="70"/>
    </row>
    <row r="823" spans="1:13" ht="15.75" customHeight="1" x14ac:dyDescent="0.35">
      <c r="A823" s="66"/>
      <c r="B823" s="67"/>
      <c r="M823" s="70"/>
    </row>
    <row r="824" spans="1:13" ht="15.75" customHeight="1" x14ac:dyDescent="0.35">
      <c r="A824" s="66"/>
      <c r="B824" s="67"/>
      <c r="M824" s="70"/>
    </row>
    <row r="825" spans="1:13" ht="15.75" customHeight="1" x14ac:dyDescent="0.35">
      <c r="A825" s="66"/>
      <c r="B825" s="67"/>
      <c r="M825" s="70"/>
    </row>
    <row r="826" spans="1:13" ht="15.75" customHeight="1" x14ac:dyDescent="0.35">
      <c r="A826" s="66"/>
      <c r="B826" s="67"/>
      <c r="M826" s="70"/>
    </row>
    <row r="827" spans="1:13" ht="15.75" customHeight="1" x14ac:dyDescent="0.35">
      <c r="A827" s="66"/>
      <c r="B827" s="67"/>
      <c r="M827" s="70"/>
    </row>
    <row r="828" spans="1:13" ht="15.75" customHeight="1" x14ac:dyDescent="0.35">
      <c r="A828" s="66"/>
      <c r="B828" s="67"/>
      <c r="M828" s="70"/>
    </row>
    <row r="829" spans="1:13" ht="15.75" customHeight="1" x14ac:dyDescent="0.35">
      <c r="A829" s="66"/>
      <c r="B829" s="67"/>
      <c r="M829" s="70"/>
    </row>
    <row r="830" spans="1:13" ht="15.75" customHeight="1" x14ac:dyDescent="0.35">
      <c r="A830" s="66"/>
      <c r="B830" s="67"/>
      <c r="M830" s="70"/>
    </row>
    <row r="831" spans="1:13" ht="15.75" customHeight="1" x14ac:dyDescent="0.35">
      <c r="A831" s="66"/>
      <c r="B831" s="67"/>
      <c r="M831" s="70"/>
    </row>
    <row r="832" spans="1:13" ht="15.75" customHeight="1" x14ac:dyDescent="0.35">
      <c r="A832" s="66"/>
      <c r="B832" s="67"/>
      <c r="M832" s="70"/>
    </row>
    <row r="833" spans="1:13" ht="15.75" customHeight="1" x14ac:dyDescent="0.35">
      <c r="A833" s="66"/>
      <c r="B833" s="67"/>
      <c r="M833" s="70"/>
    </row>
    <row r="834" spans="1:13" ht="15.75" customHeight="1" x14ac:dyDescent="0.35">
      <c r="A834" s="66"/>
      <c r="B834" s="67"/>
      <c r="M834" s="70"/>
    </row>
    <row r="835" spans="1:13" ht="15.75" customHeight="1" x14ac:dyDescent="0.35">
      <c r="A835" s="66"/>
      <c r="B835" s="67"/>
      <c r="M835" s="70"/>
    </row>
    <row r="836" spans="1:13" ht="15.75" customHeight="1" x14ac:dyDescent="0.35">
      <c r="A836" s="66"/>
      <c r="B836" s="67"/>
      <c r="M836" s="70"/>
    </row>
    <row r="837" spans="1:13" ht="15.75" customHeight="1" x14ac:dyDescent="0.35">
      <c r="A837" s="66"/>
      <c r="B837" s="67"/>
      <c r="M837" s="70"/>
    </row>
    <row r="838" spans="1:13" ht="15.75" customHeight="1" x14ac:dyDescent="0.35">
      <c r="A838" s="66"/>
      <c r="B838" s="67"/>
      <c r="M838" s="70"/>
    </row>
    <row r="839" spans="1:13" ht="15.75" customHeight="1" x14ac:dyDescent="0.35">
      <c r="A839" s="66"/>
      <c r="B839" s="67"/>
      <c r="M839" s="70"/>
    </row>
    <row r="840" spans="1:13" ht="15.75" customHeight="1" x14ac:dyDescent="0.35">
      <c r="A840" s="66"/>
      <c r="B840" s="67"/>
      <c r="M840" s="70"/>
    </row>
    <row r="841" spans="1:13" ht="15.75" customHeight="1" x14ac:dyDescent="0.35">
      <c r="A841" s="66"/>
      <c r="B841" s="67"/>
      <c r="M841" s="70"/>
    </row>
    <row r="842" spans="1:13" ht="15.75" customHeight="1" x14ac:dyDescent="0.35">
      <c r="A842" s="66"/>
      <c r="B842" s="67"/>
      <c r="M842" s="70"/>
    </row>
    <row r="843" spans="1:13" ht="15.75" customHeight="1" x14ac:dyDescent="0.35">
      <c r="A843" s="66"/>
      <c r="B843" s="67"/>
      <c r="M843" s="70"/>
    </row>
    <row r="844" spans="1:13" ht="15.75" customHeight="1" x14ac:dyDescent="0.35">
      <c r="A844" s="66"/>
      <c r="B844" s="67"/>
      <c r="M844" s="70"/>
    </row>
    <row r="845" spans="1:13" ht="15.75" customHeight="1" x14ac:dyDescent="0.35">
      <c r="A845" s="66"/>
      <c r="B845" s="67"/>
      <c r="M845" s="70"/>
    </row>
    <row r="846" spans="1:13" ht="15.75" customHeight="1" x14ac:dyDescent="0.35">
      <c r="A846" s="66"/>
      <c r="B846" s="67"/>
      <c r="M846" s="70"/>
    </row>
    <row r="847" spans="1:13" ht="15.75" customHeight="1" x14ac:dyDescent="0.35">
      <c r="A847" s="66"/>
      <c r="B847" s="67"/>
      <c r="M847" s="70"/>
    </row>
    <row r="848" spans="1:13" ht="15.75" customHeight="1" x14ac:dyDescent="0.35">
      <c r="A848" s="66"/>
      <c r="B848" s="67"/>
      <c r="M848" s="70"/>
    </row>
    <row r="849" spans="1:13" ht="15.75" customHeight="1" x14ac:dyDescent="0.35">
      <c r="A849" s="66"/>
      <c r="B849" s="67"/>
      <c r="M849" s="70"/>
    </row>
    <row r="850" spans="1:13" ht="15.75" customHeight="1" x14ac:dyDescent="0.35">
      <c r="A850" s="66"/>
      <c r="B850" s="67"/>
      <c r="M850" s="70"/>
    </row>
    <row r="851" spans="1:13" ht="15.75" customHeight="1" x14ac:dyDescent="0.35">
      <c r="A851" s="66"/>
      <c r="B851" s="67"/>
      <c r="M851" s="70"/>
    </row>
    <row r="852" spans="1:13" ht="15.75" customHeight="1" x14ac:dyDescent="0.35">
      <c r="A852" s="66"/>
      <c r="B852" s="67"/>
      <c r="M852" s="70"/>
    </row>
    <row r="853" spans="1:13" ht="15.75" customHeight="1" x14ac:dyDescent="0.35">
      <c r="A853" s="66"/>
      <c r="B853" s="67"/>
      <c r="M853" s="70"/>
    </row>
    <row r="854" spans="1:13" ht="15.75" customHeight="1" x14ac:dyDescent="0.35">
      <c r="A854" s="66"/>
      <c r="B854" s="67"/>
      <c r="M854" s="70"/>
    </row>
    <row r="855" spans="1:13" ht="15.75" customHeight="1" x14ac:dyDescent="0.35">
      <c r="A855" s="66"/>
      <c r="B855" s="67"/>
      <c r="M855" s="70"/>
    </row>
    <row r="856" spans="1:13" ht="15.75" customHeight="1" x14ac:dyDescent="0.35">
      <c r="A856" s="66"/>
      <c r="B856" s="67"/>
      <c r="M856" s="70"/>
    </row>
    <row r="857" spans="1:13" ht="15.75" customHeight="1" x14ac:dyDescent="0.35">
      <c r="A857" s="66"/>
      <c r="B857" s="67"/>
      <c r="M857" s="70"/>
    </row>
    <row r="858" spans="1:13" ht="15.75" customHeight="1" x14ac:dyDescent="0.35">
      <c r="A858" s="66"/>
      <c r="B858" s="67"/>
      <c r="M858" s="70"/>
    </row>
    <row r="859" spans="1:13" ht="15.75" customHeight="1" x14ac:dyDescent="0.35">
      <c r="A859" s="66"/>
      <c r="B859" s="67"/>
      <c r="M859" s="70"/>
    </row>
    <row r="860" spans="1:13" ht="15.75" customHeight="1" x14ac:dyDescent="0.35">
      <c r="A860" s="66"/>
      <c r="B860" s="67"/>
      <c r="M860" s="70"/>
    </row>
    <row r="861" spans="1:13" ht="15.75" customHeight="1" x14ac:dyDescent="0.35">
      <c r="A861" s="66"/>
      <c r="B861" s="67"/>
      <c r="M861" s="70"/>
    </row>
    <row r="862" spans="1:13" ht="15.75" customHeight="1" x14ac:dyDescent="0.35">
      <c r="A862" s="66"/>
      <c r="B862" s="67"/>
      <c r="M862" s="70"/>
    </row>
    <row r="863" spans="1:13" ht="15.75" customHeight="1" x14ac:dyDescent="0.35">
      <c r="A863" s="66"/>
      <c r="B863" s="67"/>
      <c r="M863" s="70"/>
    </row>
    <row r="864" spans="1:13" ht="15.75" customHeight="1" x14ac:dyDescent="0.35">
      <c r="A864" s="66"/>
      <c r="B864" s="67"/>
      <c r="M864" s="70"/>
    </row>
    <row r="865" spans="1:13" ht="15.75" customHeight="1" x14ac:dyDescent="0.35">
      <c r="A865" s="66"/>
      <c r="B865" s="67"/>
      <c r="M865" s="70"/>
    </row>
    <row r="866" spans="1:13" ht="15.75" customHeight="1" x14ac:dyDescent="0.35">
      <c r="A866" s="66"/>
      <c r="B866" s="67"/>
      <c r="M866" s="70"/>
    </row>
    <row r="867" spans="1:13" ht="15.75" customHeight="1" x14ac:dyDescent="0.35">
      <c r="A867" s="66"/>
      <c r="B867" s="67"/>
      <c r="M867" s="70"/>
    </row>
    <row r="868" spans="1:13" ht="15.75" customHeight="1" x14ac:dyDescent="0.35">
      <c r="A868" s="66"/>
      <c r="B868" s="67"/>
      <c r="M868" s="70"/>
    </row>
    <row r="869" spans="1:13" ht="15.75" customHeight="1" x14ac:dyDescent="0.35">
      <c r="A869" s="66"/>
      <c r="B869" s="67"/>
      <c r="M869" s="70"/>
    </row>
    <row r="870" spans="1:13" ht="15.75" customHeight="1" x14ac:dyDescent="0.35">
      <c r="A870" s="66"/>
      <c r="B870" s="67"/>
      <c r="M870" s="70"/>
    </row>
    <row r="871" spans="1:13" ht="15.75" customHeight="1" x14ac:dyDescent="0.35">
      <c r="A871" s="66"/>
      <c r="B871" s="67"/>
      <c r="M871" s="70"/>
    </row>
    <row r="872" spans="1:13" ht="15.75" customHeight="1" x14ac:dyDescent="0.35">
      <c r="A872" s="66"/>
      <c r="B872" s="67"/>
      <c r="M872" s="70"/>
    </row>
    <row r="873" spans="1:13" ht="15.75" customHeight="1" x14ac:dyDescent="0.35">
      <c r="A873" s="66"/>
      <c r="B873" s="67"/>
      <c r="M873" s="70"/>
    </row>
    <row r="874" spans="1:13" ht="15.75" customHeight="1" x14ac:dyDescent="0.35">
      <c r="A874" s="66"/>
      <c r="B874" s="67"/>
      <c r="M874" s="70"/>
    </row>
    <row r="875" spans="1:13" ht="15.75" customHeight="1" x14ac:dyDescent="0.35">
      <c r="A875" s="66"/>
      <c r="B875" s="67"/>
      <c r="M875" s="70"/>
    </row>
    <row r="876" spans="1:13" ht="15.75" customHeight="1" x14ac:dyDescent="0.35">
      <c r="A876" s="66"/>
      <c r="B876" s="67"/>
      <c r="M876" s="70"/>
    </row>
    <row r="877" spans="1:13" ht="15.75" customHeight="1" x14ac:dyDescent="0.35">
      <c r="A877" s="66"/>
      <c r="B877" s="67"/>
      <c r="M877" s="70"/>
    </row>
    <row r="878" spans="1:13" ht="15.75" customHeight="1" x14ac:dyDescent="0.35">
      <c r="A878" s="66"/>
      <c r="B878" s="67"/>
      <c r="M878" s="70"/>
    </row>
    <row r="879" spans="1:13" ht="15.75" customHeight="1" x14ac:dyDescent="0.35">
      <c r="A879" s="66"/>
      <c r="B879" s="67"/>
      <c r="M879" s="70"/>
    </row>
    <row r="880" spans="1:13" ht="15.75" customHeight="1" x14ac:dyDescent="0.35">
      <c r="A880" s="66"/>
      <c r="B880" s="67"/>
      <c r="M880" s="70"/>
    </row>
    <row r="881" spans="1:13" ht="15.75" customHeight="1" x14ac:dyDescent="0.35">
      <c r="A881" s="66"/>
      <c r="B881" s="67"/>
      <c r="M881" s="70"/>
    </row>
    <row r="882" spans="1:13" ht="15.75" customHeight="1" x14ac:dyDescent="0.35">
      <c r="A882" s="66"/>
      <c r="B882" s="67"/>
      <c r="M882" s="70"/>
    </row>
    <row r="883" spans="1:13" ht="15.75" customHeight="1" x14ac:dyDescent="0.35">
      <c r="A883" s="66"/>
      <c r="B883" s="67"/>
      <c r="M883" s="70"/>
    </row>
    <row r="884" spans="1:13" ht="15.75" customHeight="1" x14ac:dyDescent="0.35">
      <c r="A884" s="66"/>
      <c r="B884" s="67"/>
      <c r="M884" s="70"/>
    </row>
    <row r="885" spans="1:13" ht="15.75" customHeight="1" x14ac:dyDescent="0.35">
      <c r="A885" s="66"/>
      <c r="B885" s="67"/>
      <c r="M885" s="70"/>
    </row>
    <row r="886" spans="1:13" ht="15.75" customHeight="1" x14ac:dyDescent="0.35">
      <c r="A886" s="66"/>
      <c r="B886" s="67"/>
      <c r="M886" s="70"/>
    </row>
    <row r="887" spans="1:13" ht="15.75" customHeight="1" x14ac:dyDescent="0.35">
      <c r="A887" s="66"/>
      <c r="B887" s="67"/>
      <c r="M887" s="70"/>
    </row>
    <row r="888" spans="1:13" ht="15.75" customHeight="1" x14ac:dyDescent="0.35">
      <c r="A888" s="66"/>
      <c r="B888" s="67"/>
      <c r="M888" s="70"/>
    </row>
    <row r="889" spans="1:13" ht="15.75" customHeight="1" x14ac:dyDescent="0.35">
      <c r="A889" s="66"/>
      <c r="B889" s="67"/>
      <c r="M889" s="70"/>
    </row>
    <row r="890" spans="1:13" ht="15.75" customHeight="1" x14ac:dyDescent="0.35">
      <c r="A890" s="66"/>
      <c r="B890" s="67"/>
      <c r="M890" s="70"/>
    </row>
    <row r="891" spans="1:13" ht="15.75" customHeight="1" x14ac:dyDescent="0.35">
      <c r="A891" s="66"/>
      <c r="B891" s="67"/>
      <c r="M891" s="70"/>
    </row>
    <row r="892" spans="1:13" ht="15.75" customHeight="1" x14ac:dyDescent="0.35">
      <c r="A892" s="66"/>
      <c r="B892" s="67"/>
      <c r="M892" s="70"/>
    </row>
    <row r="893" spans="1:13" ht="15.75" customHeight="1" x14ac:dyDescent="0.35">
      <c r="A893" s="66"/>
      <c r="B893" s="67"/>
      <c r="M893" s="70"/>
    </row>
    <row r="894" spans="1:13" ht="15.75" customHeight="1" x14ac:dyDescent="0.35">
      <c r="A894" s="66"/>
      <c r="B894" s="67"/>
      <c r="M894" s="70"/>
    </row>
    <row r="895" spans="1:13" ht="15.75" customHeight="1" x14ac:dyDescent="0.35">
      <c r="A895" s="66"/>
      <c r="B895" s="67"/>
      <c r="M895" s="70"/>
    </row>
    <row r="896" spans="1:13" ht="15.75" customHeight="1" x14ac:dyDescent="0.35">
      <c r="A896" s="66"/>
      <c r="B896" s="67"/>
      <c r="M896" s="70"/>
    </row>
    <row r="897" spans="1:13" ht="15.75" customHeight="1" x14ac:dyDescent="0.35">
      <c r="A897" s="66"/>
      <c r="B897" s="67"/>
      <c r="M897" s="70"/>
    </row>
    <row r="898" spans="1:13" ht="15.75" customHeight="1" x14ac:dyDescent="0.35">
      <c r="A898" s="66"/>
      <c r="B898" s="67"/>
      <c r="M898" s="70"/>
    </row>
    <row r="899" spans="1:13" ht="15.75" customHeight="1" x14ac:dyDescent="0.35">
      <c r="A899" s="66"/>
      <c r="B899" s="67"/>
      <c r="M899" s="70"/>
    </row>
    <row r="900" spans="1:13" ht="15.75" customHeight="1" x14ac:dyDescent="0.35">
      <c r="A900" s="66"/>
      <c r="B900" s="67"/>
      <c r="M900" s="70"/>
    </row>
    <row r="901" spans="1:13" ht="15.75" customHeight="1" x14ac:dyDescent="0.35">
      <c r="A901" s="66"/>
      <c r="B901" s="67"/>
      <c r="M901" s="70"/>
    </row>
    <row r="902" spans="1:13" ht="15.75" customHeight="1" x14ac:dyDescent="0.35">
      <c r="A902" s="66"/>
      <c r="B902" s="67"/>
      <c r="M902" s="70"/>
    </row>
    <row r="903" spans="1:13" ht="15.75" customHeight="1" x14ac:dyDescent="0.35">
      <c r="A903" s="66"/>
      <c r="B903" s="67"/>
      <c r="M903" s="70"/>
    </row>
    <row r="904" spans="1:13" ht="15.75" customHeight="1" x14ac:dyDescent="0.35">
      <c r="A904" s="66"/>
      <c r="B904" s="67"/>
      <c r="M904" s="70"/>
    </row>
    <row r="905" spans="1:13" ht="15.75" customHeight="1" x14ac:dyDescent="0.35">
      <c r="A905" s="66"/>
      <c r="B905" s="67"/>
      <c r="M905" s="70"/>
    </row>
    <row r="906" spans="1:13" ht="15.75" customHeight="1" x14ac:dyDescent="0.35">
      <c r="A906" s="66"/>
      <c r="B906" s="67"/>
      <c r="M906" s="70"/>
    </row>
    <row r="907" spans="1:13" ht="15.75" customHeight="1" x14ac:dyDescent="0.35">
      <c r="A907" s="66"/>
      <c r="B907" s="67"/>
      <c r="M907" s="70"/>
    </row>
    <row r="908" spans="1:13" ht="15.75" customHeight="1" x14ac:dyDescent="0.35">
      <c r="A908" s="66"/>
      <c r="B908" s="67"/>
      <c r="M908" s="70"/>
    </row>
    <row r="909" spans="1:13" ht="15.75" customHeight="1" x14ac:dyDescent="0.35">
      <c r="A909" s="66"/>
      <c r="B909" s="67"/>
      <c r="M909" s="70"/>
    </row>
    <row r="910" spans="1:13" ht="15.75" customHeight="1" x14ac:dyDescent="0.35">
      <c r="A910" s="66"/>
      <c r="B910" s="67"/>
      <c r="M910" s="70"/>
    </row>
    <row r="911" spans="1:13" ht="15.75" customHeight="1" x14ac:dyDescent="0.35">
      <c r="A911" s="66"/>
      <c r="B911" s="67"/>
      <c r="M911" s="70"/>
    </row>
    <row r="912" spans="1:13" ht="15.75" customHeight="1" x14ac:dyDescent="0.35">
      <c r="A912" s="66"/>
      <c r="B912" s="67"/>
      <c r="M912" s="70"/>
    </row>
    <row r="913" spans="1:13" ht="15.75" customHeight="1" x14ac:dyDescent="0.35">
      <c r="A913" s="66"/>
      <c r="B913" s="67"/>
      <c r="M913" s="70"/>
    </row>
    <row r="914" spans="1:13" ht="15.75" customHeight="1" x14ac:dyDescent="0.35">
      <c r="A914" s="66"/>
      <c r="B914" s="67"/>
      <c r="M914" s="70"/>
    </row>
    <row r="915" spans="1:13" ht="15.75" customHeight="1" x14ac:dyDescent="0.35">
      <c r="A915" s="66"/>
      <c r="B915" s="67"/>
      <c r="M915" s="70"/>
    </row>
    <row r="916" spans="1:13" ht="15.75" customHeight="1" x14ac:dyDescent="0.35">
      <c r="A916" s="66"/>
      <c r="B916" s="67"/>
      <c r="M916" s="70"/>
    </row>
    <row r="917" spans="1:13" ht="15.75" customHeight="1" x14ac:dyDescent="0.35">
      <c r="A917" s="66"/>
      <c r="B917" s="67"/>
      <c r="M917" s="70"/>
    </row>
    <row r="918" spans="1:13" ht="15.75" customHeight="1" x14ac:dyDescent="0.35">
      <c r="A918" s="66"/>
      <c r="B918" s="67"/>
      <c r="M918" s="70"/>
    </row>
    <row r="919" spans="1:13" ht="15.75" customHeight="1" x14ac:dyDescent="0.35">
      <c r="A919" s="66"/>
      <c r="B919" s="67"/>
      <c r="M919" s="70"/>
    </row>
    <row r="920" spans="1:13" ht="15.75" customHeight="1" x14ac:dyDescent="0.35">
      <c r="A920" s="66"/>
      <c r="B920" s="67"/>
      <c r="M920" s="70"/>
    </row>
    <row r="921" spans="1:13" ht="15.75" customHeight="1" x14ac:dyDescent="0.35">
      <c r="A921" s="66"/>
      <c r="B921" s="67"/>
      <c r="M921" s="70"/>
    </row>
    <row r="922" spans="1:13" ht="15.75" customHeight="1" x14ac:dyDescent="0.35">
      <c r="A922" s="66"/>
      <c r="B922" s="67"/>
      <c r="M922" s="70"/>
    </row>
    <row r="923" spans="1:13" ht="15.75" customHeight="1" x14ac:dyDescent="0.35">
      <c r="A923" s="66"/>
      <c r="B923" s="67"/>
      <c r="M923" s="70"/>
    </row>
    <row r="924" spans="1:13" ht="15.75" customHeight="1" x14ac:dyDescent="0.35">
      <c r="A924" s="66"/>
      <c r="B924" s="67"/>
      <c r="M924" s="70"/>
    </row>
    <row r="925" spans="1:13" ht="15.75" customHeight="1" x14ac:dyDescent="0.35">
      <c r="A925" s="66"/>
      <c r="B925" s="67"/>
      <c r="M925" s="70"/>
    </row>
    <row r="926" spans="1:13" ht="15.75" customHeight="1" x14ac:dyDescent="0.35">
      <c r="A926" s="66"/>
      <c r="B926" s="67"/>
      <c r="M926" s="70"/>
    </row>
    <row r="927" spans="1:13" ht="15.75" customHeight="1" x14ac:dyDescent="0.35">
      <c r="A927" s="66"/>
      <c r="B927" s="67"/>
      <c r="M927" s="70"/>
    </row>
    <row r="928" spans="1:13" ht="15.75" customHeight="1" x14ac:dyDescent="0.35">
      <c r="A928" s="66"/>
      <c r="B928" s="67"/>
      <c r="M928" s="70"/>
    </row>
    <row r="929" spans="1:13" ht="15.75" customHeight="1" x14ac:dyDescent="0.35">
      <c r="A929" s="66"/>
      <c r="B929" s="67"/>
      <c r="M929" s="70"/>
    </row>
    <row r="930" spans="1:13" ht="15.75" customHeight="1" x14ac:dyDescent="0.35">
      <c r="A930" s="66"/>
      <c r="B930" s="67"/>
      <c r="M930" s="70"/>
    </row>
    <row r="931" spans="1:13" ht="15.75" customHeight="1" x14ac:dyDescent="0.35">
      <c r="A931" s="66"/>
      <c r="B931" s="67"/>
      <c r="M931" s="70"/>
    </row>
    <row r="932" spans="1:13" ht="15.75" customHeight="1" x14ac:dyDescent="0.35">
      <c r="A932" s="66"/>
      <c r="B932" s="67"/>
      <c r="M932" s="70"/>
    </row>
    <row r="933" spans="1:13" ht="15.75" customHeight="1" x14ac:dyDescent="0.35">
      <c r="A933" s="66"/>
      <c r="B933" s="67"/>
      <c r="M933" s="70"/>
    </row>
    <row r="934" spans="1:13" ht="15.75" customHeight="1" x14ac:dyDescent="0.35">
      <c r="A934" s="66"/>
      <c r="B934" s="67"/>
      <c r="M934" s="70"/>
    </row>
    <row r="935" spans="1:13" ht="15.75" customHeight="1" x14ac:dyDescent="0.35">
      <c r="A935" s="66"/>
      <c r="B935" s="67"/>
      <c r="M935" s="70"/>
    </row>
    <row r="936" spans="1:13" ht="15.75" customHeight="1" x14ac:dyDescent="0.35">
      <c r="A936" s="66"/>
      <c r="B936" s="67"/>
      <c r="M936" s="70"/>
    </row>
    <row r="937" spans="1:13" ht="15.75" customHeight="1" x14ac:dyDescent="0.35">
      <c r="A937" s="66"/>
      <c r="B937" s="67"/>
      <c r="M937" s="70"/>
    </row>
    <row r="938" spans="1:13" ht="15.75" customHeight="1" x14ac:dyDescent="0.35">
      <c r="A938" s="66"/>
      <c r="B938" s="67"/>
      <c r="M938" s="70"/>
    </row>
    <row r="939" spans="1:13" ht="15.75" customHeight="1" x14ac:dyDescent="0.35">
      <c r="A939" s="66"/>
      <c r="B939" s="67"/>
      <c r="M939" s="70"/>
    </row>
    <row r="940" spans="1:13" ht="15.75" customHeight="1" x14ac:dyDescent="0.35">
      <c r="A940" s="66"/>
      <c r="B940" s="67"/>
      <c r="M940" s="70"/>
    </row>
    <row r="941" spans="1:13" ht="15.75" customHeight="1" x14ac:dyDescent="0.35">
      <c r="A941" s="66"/>
      <c r="B941" s="67"/>
      <c r="M941" s="70"/>
    </row>
    <row r="942" spans="1:13" ht="15.75" customHeight="1" x14ac:dyDescent="0.35">
      <c r="A942" s="66"/>
      <c r="B942" s="67"/>
      <c r="M942" s="70"/>
    </row>
    <row r="943" spans="1:13" ht="15.75" customHeight="1" x14ac:dyDescent="0.35">
      <c r="A943" s="66"/>
      <c r="B943" s="67"/>
      <c r="M943" s="70"/>
    </row>
    <row r="944" spans="1:13" ht="15.75" customHeight="1" x14ac:dyDescent="0.35">
      <c r="A944" s="66"/>
      <c r="B944" s="67"/>
      <c r="M944" s="70"/>
    </row>
    <row r="945" spans="1:13" ht="15.75" customHeight="1" x14ac:dyDescent="0.35">
      <c r="A945" s="66"/>
      <c r="B945" s="67"/>
      <c r="M945" s="70"/>
    </row>
    <row r="946" spans="1:13" ht="15.75" customHeight="1" x14ac:dyDescent="0.35">
      <c r="A946" s="66"/>
      <c r="B946" s="67"/>
      <c r="M946" s="70"/>
    </row>
    <row r="947" spans="1:13" ht="15.75" customHeight="1" x14ac:dyDescent="0.35">
      <c r="A947" s="66"/>
      <c r="B947" s="67"/>
      <c r="M947" s="70"/>
    </row>
    <row r="948" spans="1:13" ht="15.75" customHeight="1" x14ac:dyDescent="0.35">
      <c r="A948" s="66"/>
      <c r="B948" s="67"/>
      <c r="M948" s="70"/>
    </row>
    <row r="949" spans="1:13" ht="15.75" customHeight="1" x14ac:dyDescent="0.35">
      <c r="A949" s="66"/>
      <c r="B949" s="67"/>
      <c r="M949" s="70"/>
    </row>
    <row r="950" spans="1:13" ht="15.75" customHeight="1" x14ac:dyDescent="0.35">
      <c r="A950" s="66"/>
      <c r="B950" s="67"/>
      <c r="M950" s="70"/>
    </row>
    <row r="951" spans="1:13" ht="15.75" customHeight="1" x14ac:dyDescent="0.35">
      <c r="A951" s="66"/>
      <c r="B951" s="67"/>
      <c r="M951" s="70"/>
    </row>
    <row r="952" spans="1:13" ht="15.75" customHeight="1" x14ac:dyDescent="0.35">
      <c r="A952" s="66"/>
      <c r="B952" s="67"/>
      <c r="M952" s="70"/>
    </row>
    <row r="953" spans="1:13" ht="15.75" customHeight="1" x14ac:dyDescent="0.35">
      <c r="A953" s="66"/>
      <c r="B953" s="67"/>
      <c r="M953" s="70"/>
    </row>
    <row r="954" spans="1:13" ht="15.75" customHeight="1" x14ac:dyDescent="0.35">
      <c r="A954" s="66"/>
      <c r="B954" s="67"/>
      <c r="M954" s="70"/>
    </row>
    <row r="955" spans="1:13" ht="15.75" customHeight="1" x14ac:dyDescent="0.35">
      <c r="A955" s="66"/>
      <c r="B955" s="67"/>
      <c r="M955" s="70"/>
    </row>
    <row r="956" spans="1:13" ht="15.75" customHeight="1" x14ac:dyDescent="0.35">
      <c r="A956" s="66"/>
      <c r="B956" s="67"/>
      <c r="M956" s="70"/>
    </row>
    <row r="957" spans="1:13" ht="15.75" customHeight="1" x14ac:dyDescent="0.35">
      <c r="A957" s="66"/>
      <c r="B957" s="67"/>
      <c r="M957" s="70"/>
    </row>
    <row r="958" spans="1:13" ht="15.75" customHeight="1" x14ac:dyDescent="0.35">
      <c r="A958" s="66"/>
      <c r="B958" s="67"/>
      <c r="M958" s="70"/>
    </row>
    <row r="959" spans="1:13" ht="15.75" customHeight="1" x14ac:dyDescent="0.35">
      <c r="A959" s="66"/>
      <c r="B959" s="67"/>
      <c r="M959" s="70"/>
    </row>
    <row r="960" spans="1:13" ht="15.75" customHeight="1" x14ac:dyDescent="0.35">
      <c r="A960" s="66"/>
      <c r="B960" s="67"/>
      <c r="M960" s="70"/>
    </row>
    <row r="961" spans="1:13" ht="15.75" customHeight="1" x14ac:dyDescent="0.35">
      <c r="A961" s="66"/>
      <c r="B961" s="67"/>
      <c r="M961" s="70"/>
    </row>
    <row r="962" spans="1:13" ht="15.75" customHeight="1" x14ac:dyDescent="0.35">
      <c r="A962" s="66"/>
      <c r="B962" s="67"/>
      <c r="M962" s="70"/>
    </row>
    <row r="963" spans="1:13" ht="15.75" customHeight="1" x14ac:dyDescent="0.35">
      <c r="A963" s="66"/>
      <c r="B963" s="67"/>
      <c r="M963" s="70"/>
    </row>
    <row r="964" spans="1:13" ht="15.75" customHeight="1" x14ac:dyDescent="0.35">
      <c r="A964" s="66"/>
      <c r="B964" s="67"/>
      <c r="M964" s="70"/>
    </row>
    <row r="965" spans="1:13" ht="15.75" customHeight="1" x14ac:dyDescent="0.35">
      <c r="A965" s="66"/>
      <c r="B965" s="67"/>
      <c r="M965" s="70"/>
    </row>
    <row r="966" spans="1:13" ht="15.75" customHeight="1" x14ac:dyDescent="0.35">
      <c r="A966" s="66"/>
      <c r="B966" s="67"/>
      <c r="M966" s="70"/>
    </row>
    <row r="967" spans="1:13" ht="15.75" customHeight="1" x14ac:dyDescent="0.35">
      <c r="A967" s="66"/>
      <c r="B967" s="67"/>
      <c r="M967" s="70"/>
    </row>
    <row r="968" spans="1:13" ht="15.75" customHeight="1" x14ac:dyDescent="0.35">
      <c r="A968" s="66"/>
      <c r="B968" s="67"/>
      <c r="M968" s="70"/>
    </row>
    <row r="969" spans="1:13" ht="15.75" customHeight="1" x14ac:dyDescent="0.35">
      <c r="A969" s="66"/>
      <c r="B969" s="67"/>
      <c r="M969" s="70"/>
    </row>
    <row r="970" spans="1:13" ht="15.75" customHeight="1" x14ac:dyDescent="0.35">
      <c r="A970" s="66"/>
      <c r="B970" s="67"/>
      <c r="M970" s="70"/>
    </row>
    <row r="971" spans="1:13" ht="15.75" customHeight="1" x14ac:dyDescent="0.35">
      <c r="A971" s="66"/>
      <c r="B971" s="67"/>
      <c r="M971" s="70"/>
    </row>
    <row r="972" spans="1:13" ht="15.75" customHeight="1" x14ac:dyDescent="0.35">
      <c r="A972" s="66"/>
      <c r="B972" s="67"/>
      <c r="M972" s="70"/>
    </row>
    <row r="973" spans="1:13" ht="15.75" customHeight="1" x14ac:dyDescent="0.35">
      <c r="A973" s="66"/>
      <c r="B973" s="67"/>
      <c r="M973" s="70"/>
    </row>
    <row r="974" spans="1:13" ht="15.75" customHeight="1" x14ac:dyDescent="0.35">
      <c r="A974" s="66"/>
      <c r="B974" s="67"/>
      <c r="M974" s="70"/>
    </row>
    <row r="975" spans="1:13" ht="15.75" customHeight="1" x14ac:dyDescent="0.35">
      <c r="A975" s="66"/>
      <c r="B975" s="67"/>
      <c r="M975" s="70"/>
    </row>
    <row r="976" spans="1:13" ht="15.75" customHeight="1" x14ac:dyDescent="0.35">
      <c r="A976" s="66"/>
      <c r="B976" s="67"/>
      <c r="M976" s="70"/>
    </row>
    <row r="977" spans="1:13" ht="15.75" customHeight="1" x14ac:dyDescent="0.35">
      <c r="A977" s="66"/>
      <c r="B977" s="67"/>
      <c r="M977" s="70"/>
    </row>
    <row r="978" spans="1:13" ht="15.75" customHeight="1" x14ac:dyDescent="0.35">
      <c r="A978" s="66"/>
      <c r="B978" s="67"/>
      <c r="M978" s="70"/>
    </row>
    <row r="979" spans="1:13" ht="15.75" customHeight="1" x14ac:dyDescent="0.35">
      <c r="A979" s="66"/>
      <c r="B979" s="67"/>
      <c r="M979" s="70"/>
    </row>
    <row r="980" spans="1:13" ht="15.75" customHeight="1" x14ac:dyDescent="0.35">
      <c r="A980" s="66"/>
      <c r="B980" s="67"/>
      <c r="M980" s="70"/>
    </row>
    <row r="981" spans="1:13" ht="15.75" customHeight="1" x14ac:dyDescent="0.35">
      <c r="A981" s="66"/>
      <c r="B981" s="67"/>
      <c r="M981" s="70"/>
    </row>
    <row r="982" spans="1:13" ht="15.75" customHeight="1" x14ac:dyDescent="0.35">
      <c r="A982" s="66"/>
      <c r="B982" s="67"/>
      <c r="M982" s="70"/>
    </row>
    <row r="983" spans="1:13" ht="15.75" customHeight="1" x14ac:dyDescent="0.35">
      <c r="A983" s="66"/>
      <c r="B983" s="67"/>
      <c r="M983" s="70"/>
    </row>
    <row r="984" spans="1:13" ht="15.75" customHeight="1" x14ac:dyDescent="0.35">
      <c r="A984" s="66"/>
      <c r="B984" s="67"/>
      <c r="M984" s="70"/>
    </row>
    <row r="985" spans="1:13" ht="15.75" customHeight="1" x14ac:dyDescent="0.35">
      <c r="A985" s="66"/>
      <c r="B985" s="67"/>
      <c r="M985" s="70"/>
    </row>
    <row r="986" spans="1:13" ht="15.75" customHeight="1" x14ac:dyDescent="0.35">
      <c r="A986" s="66"/>
      <c r="B986" s="67"/>
      <c r="M986" s="70"/>
    </row>
    <row r="987" spans="1:13" ht="15.75" customHeight="1" x14ac:dyDescent="0.35">
      <c r="A987" s="66"/>
      <c r="B987" s="67"/>
      <c r="M987" s="70"/>
    </row>
  </sheetData>
  <mergeCells count="43">
    <mergeCell ref="AK3:AL3"/>
    <mergeCell ref="AO3:AR3"/>
    <mergeCell ref="AK5:AY5"/>
    <mergeCell ref="N3:N4"/>
    <mergeCell ref="H5:K5"/>
    <mergeCell ref="H3:H4"/>
    <mergeCell ref="I3:I4"/>
    <mergeCell ref="J3:J4"/>
    <mergeCell ref="K3:K4"/>
    <mergeCell ref="L3:L4"/>
    <mergeCell ref="M3:M4"/>
    <mergeCell ref="AS2:AY2"/>
    <mergeCell ref="BA2:BB2"/>
    <mergeCell ref="A1:B1"/>
    <mergeCell ref="C2:G2"/>
    <mergeCell ref="H2:L2"/>
    <mergeCell ref="N2:P2"/>
    <mergeCell ref="Q2:T2"/>
    <mergeCell ref="U2:Z2"/>
    <mergeCell ref="AB2:AF2"/>
    <mergeCell ref="AG2:AJ2"/>
    <mergeCell ref="AK2:AL2"/>
    <mergeCell ref="AO2:AR2"/>
    <mergeCell ref="A3:A4"/>
    <mergeCell ref="B3:B4"/>
    <mergeCell ref="C3:C4"/>
    <mergeCell ref="D3:D4"/>
    <mergeCell ref="E3:E4"/>
    <mergeCell ref="F3:F4"/>
    <mergeCell ref="G3:G4"/>
    <mergeCell ref="C5:G5"/>
    <mergeCell ref="AB3:AF3"/>
    <mergeCell ref="AG3:AJ3"/>
    <mergeCell ref="U4:W4"/>
    <mergeCell ref="X4:Z4"/>
    <mergeCell ref="AB5:AE5"/>
    <mergeCell ref="O3:O4"/>
    <mergeCell ref="P3:P4"/>
    <mergeCell ref="Q3:Q4"/>
    <mergeCell ref="R3:R4"/>
    <mergeCell ref="S3:S4"/>
    <mergeCell ref="T3:T4"/>
    <mergeCell ref="U3:Z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JAWA BARAT (4 Agst)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Perekonomian ATRBPN</cp:lastModifiedBy>
  <dcterms:modified xsi:type="dcterms:W3CDTF">2026-09-04T06:28:01Z</dcterms:modified>
</cp:coreProperties>
</file>